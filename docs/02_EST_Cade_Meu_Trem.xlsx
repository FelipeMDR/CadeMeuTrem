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9403d8ef6842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stimativa" sheetId="1" r:id="Rdb92c8ea93814dc5"/>
    <x:sheet xmlns:r="http://schemas.openxmlformats.org/officeDocument/2006/relationships" name="Atores e casos" sheetId="2" r:id="Rad3a48faf84a42f2"/>
    <x:sheet xmlns:r="http://schemas.openxmlformats.org/officeDocument/2006/relationships" name="Fatores" sheetId="3" r:id="R8f066f68a6f2445a"/>
    <x:sheet xmlns:r="http://schemas.openxmlformats.org/officeDocument/2006/relationships" name="Esforco" sheetId="4" r:id="R29b18ee614514112"/>
    <x:sheet xmlns:r="http://schemas.openxmlformats.org/officeDocument/2006/relationships" name="Detalhamento" sheetId="5" r:id="Ra6a54c6e34a942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00"/>
  </x:numFmts>
  <x:fonts count="6">
    <x:font>
      <x:sz val="11"/>
      <x:name val="Carlito"/>
    </x:font>
    <x:font>
      <x:sz val="10"/>
      <x:color rgb="FF222222"/>
      <x:name val="Arial"/>
    </x:font>
    <x:font>
      <x:b/>
      <x:sz val="16"/>
      <x:color rgb="FF000000"/>
      <x:name val="Arial"/>
    </x:font>
    <x:font>
      <x:b/>
      <x:sz val="10"/>
      <x:color rgb="FFFFFFFF"/>
      <x:name val="Arial"/>
    </x:font>
    <x:font>
      <x:b/>
      <x:sz val="16"/>
      <x:color rgb="FF000000"/>
      <x:name val="Carlito"/>
    </x:font>
    <x:font>
      <x:sz val="10"/>
      <x:color rgb="FF33333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D4542"/>
      </x:patternFill>
    </x:fill>
    <x:fill>
      <x:patternFill patternType="solid">
        <x:fgColor rgb="FFFFFFFF"/>
      </x:patternFill>
    </x:fill>
    <x:fill>
      <x:patternFill patternType="solid">
        <x:fgColor rgb="FFF2F4F2"/>
      </x:patternFill>
    </x:fill>
    <x:fill>
      <x:patternFill patternType="solid">
        <x:fgColor rgb="FFFFF0CF"/>
      </x:patternFill>
    </x:fill>
    <x:fill>
      <x:patternFill patternType="solid">
        <x:fgColor rgb="FF3D4542"/>
      </x:patternFill>
    </x:fill>
    <x:fill>
      <x:patternFill patternType="solid">
        <x:fgColor rgb="FFF2F4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F8DC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7c6f4ffdd54245" /><Relationship Type="http://schemas.openxmlformats.org/officeDocument/2006/relationships/theme" Target="/xl/theme/theme1.xml" Id="R0d75bcdd091848ef" /><Relationship Type="http://schemas.openxmlformats.org/officeDocument/2006/relationships/sharedStrings" Target="/xl/sharedStrings.xml" Id="R5b2b54af0b42409e" /><Relationship Type="http://schemas.openxmlformats.org/officeDocument/2006/relationships/worksheet" Target="/xl/worksheets/sheet1.xml" Id="Rdb92c8ea93814dc5" /><Relationship Type="http://schemas.openxmlformats.org/officeDocument/2006/relationships/worksheet" Target="/xl/worksheets/sheet2.xml" Id="Rad3a48faf84a42f2" /><Relationship Type="http://schemas.openxmlformats.org/officeDocument/2006/relationships/worksheet" Target="/xl/worksheets/sheet3.xml" Id="R8f066f68a6f2445a" /><Relationship Type="http://schemas.openxmlformats.org/officeDocument/2006/relationships/worksheet" Target="/xl/worksheets/sheet4.xml" Id="R29b18ee614514112" /><Relationship Type="http://schemas.openxmlformats.org/officeDocument/2006/relationships/worksheet" Target="/xl/worksheets/sheet5.xml" Id="Ra6a54c6e34a94294" /></Relationships>
</file>

<file path=xl/tables/table1.xml><?xml version="1.0" encoding="utf-8"?>
<x:table xmlns:x="http://schemas.openxmlformats.org/spreadsheetml/2006/main" id="1" name="TDetalhamento" displayName="TDetalhamento" ref="A6:F25" headerRowCount="1" totalsRowCount="0" totalsRowShown="0">
  <x:tableColumns count="6">
    <x:tableColumn id="1" name="RFS"/>
    <x:tableColumn id="2" name="Operação"/>
    <x:tableColumn id="3" name="RFC"/>
    <x:tableColumn id="4" name="Caso de uso"/>
    <x:tableColumn id="5" name="Release"/>
    <x:tableColumn id="6" name="Atividade CR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04e02e903e64425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3" topLeftCell="A24" activePane="bottomLeft" state="frozen"/>
    </x:sheetView>
  </x:sheetViews>
  <x:sheetFormatPr defaultRowHeight="15"/>
  <x:cols>
    <x:col min="1" max="1" width="45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2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30" customHeight="1">
      <x:c r="A2" s="3" t="str">
        <x:v>Estimativa de tamanho e esforço</x:v>
      </x:c>
      <x:c r="B2" s="2"/>
      <x:c r="C2" s="2"/>
      <x:c r="D2" s="2"/>
      <x:c r="E2" s="2"/>
      <x:c r="F2" s="2"/>
    </x:row>
    <x:row r="3" ht="22" customHeight="1">
      <x:c r="A3" s="2"/>
      <x:c r="B3" s="2"/>
      <x:c r="C3" s="2"/>
      <x:c r="D3" s="2"/>
      <x:c r="E3" s="2"/>
      <x:c r="F3" s="2"/>
    </x:row>
    <x:row r="4" ht="32" customHeight="1">
      <x:c r="A4" s="4" t="str">
        <x:v>EST 2.0 | 20/10/2026 | Equipe: Antony Souza Siqueira e Felipe Santana Medeiros</x:v>
      </x:c>
      <x:c r="B4" s="4"/>
      <x:c r="C4" s="4"/>
      <x:c r="D4" s="4"/>
      <x:c r="E4" s="4"/>
      <x:c r="F4" s="4"/>
    </x:row>
    <x:row r="5" ht="22" customHeight="1">
      <x:c r="A5" s="2"/>
      <x:c r="B5" s="2"/>
      <x:c r="C5" s="2"/>
      <x:c r="D5" s="2"/>
      <x:c r="E5" s="2"/>
      <x:c r="F5" s="2"/>
    </x:row>
    <x:row r="6" ht="32" customHeight="1">
      <x:c r="A6" s="7" t="str">
        <x:v>Medida</x:v>
      </x:c>
      <x:c r="B6" s="7" t="str">
        <x:v>Valor</x:v>
      </x:c>
      <x:c r="C6" s="7" t="str">
        <x:v>Unidade</x:v>
      </x:c>
      <x:c r="D6" s="7" t="str">
        <x:v>Origem</x:v>
      </x:c>
      <x:c r="E6" s="7" t="str">
        <x:v>Natureza</x:v>
      </x:c>
      <x:c r="F6" s="7" t="str">
        <x:v>Observação</x:v>
      </x:c>
    </x:row>
    <x:row r="7" ht="40" customHeight="1">
      <x:c r="A7" s="9" t="str">
        <x:v>Peso dos atores</x:v>
      </x:c>
      <x:c r="B7" s="12" t="n">
        <x:f>'Atores e casos'!D7</x:f>
        <x:v>3</x:v>
      </x:c>
      <x:c r="C7" s="9" t="str">
        <x:v>pontos</x:v>
      </x:c>
      <x:c r="D7" s="9" t="str">
        <x:v>Atores e casos</x:v>
      </x:c>
      <x:c r="E7" s="9" t="str">
        <x:v>Calculado</x:v>
      </x:c>
      <x:c r="F7" s="9" t="str">
        <x:v>Um operador humano em interface gráfica</x:v>
      </x:c>
    </x:row>
    <x:row r="8" ht="40" customHeight="1">
      <x:c r="A8" s="11" t="str">
        <x:v>Peso dos casos de uso</x:v>
      </x:c>
      <x:c r="B8" s="13" t="n">
        <x:f>SUM('Atores e casos'!F12:F17)</x:f>
        <x:v>50</x:v>
      </x:c>
      <x:c r="C8" s="11" t="str">
        <x:v>pontos</x:v>
      </x:c>
      <x:c r="D8" s="11" t="str">
        <x:v>Atores e casos</x:v>
      </x:c>
      <x:c r="E8" s="11" t="str">
        <x:v>Calculado</x:v>
      </x:c>
      <x:c r="F8" s="11" t="str">
        <x:v>Quatro CRUDs e dois relatórios</x:v>
      </x:c>
    </x:row>
    <x:row r="9" ht="40" customHeight="1">
      <x:c r="A9" s="9" t="str">
        <x:v>Tamanho não ajustado</x:v>
      </x:c>
      <x:c r="B9" s="12" t="n">
        <x:f>B7+B8</x:f>
        <x:v>53</x:v>
      </x:c>
      <x:c r="C9" s="9" t="str">
        <x:v>UUCP</x:v>
      </x:c>
      <x:c r="D9" s="9" t="str">
        <x:v>Atores + casos</x:v>
      </x:c>
      <x:c r="E9" s="9" t="str">
        <x:v>Calculado</x:v>
      </x:c>
      <x:c r="F9" s="9" t="str">
        <x:v>Sem duplicar operações dos CRUDs</x:v>
      </x:c>
    </x:row>
    <x:row r="10" ht="40" customHeight="1">
      <x:c r="A10" s="11" t="str">
        <x:v>Fator técnico</x:v>
      </x:c>
      <x:c r="B10" s="14" t="n">
        <x:f>Fatores!E21</x:f>
        <x:v>0.6749999999999999</x:v>
      </x:c>
      <x:c r="C10" s="11" t="str">
        <x:v>TCF</x:v>
      </x:c>
      <x:c r="D10" s="11" t="str">
        <x:v>Fatores</x:v>
      </x:c>
      <x:c r="E10" s="11" t="str">
        <x:v>Calculado</x:v>
      </x:c>
      <x:c r="F10" s="11" t="str">
        <x:v>0,6 + 0,01 × soma técnica</x:v>
      </x:c>
    </x:row>
    <x:row r="11" ht="40" customHeight="1">
      <x:c r="A11" s="9" t="str">
        <x:v>Fator ambiental</x:v>
      </x:c>
      <x:c r="B11" s="15" t="n">
        <x:f>Fatores!E34</x:f>
        <x:v>0.9349999999999999</x:v>
      </x:c>
      <x:c r="C11" s="9" t="str">
        <x:v>ECF</x:v>
      </x:c>
      <x:c r="D11" s="9" t="str">
        <x:v>Fatores</x:v>
      </x:c>
      <x:c r="E11" s="9" t="str">
        <x:v>Calculado</x:v>
      </x:c>
      <x:c r="F11" s="9" t="str">
        <x:v>1,4 − 0,03 × soma ambiental</x:v>
      </x:c>
    </x:row>
    <x:row r="12" ht="40" customHeight="1">
      <x:c r="A12" s="11" t="str">
        <x:v>Tamanho ajustado</x:v>
      </x:c>
      <x:c r="B12" s="13" t="n">
        <x:f>B9*B10*B11</x:f>
        <x:v>33.449625</x:v>
      </x:c>
      <x:c r="C12" s="11" t="str">
        <x:v>PCU</x:v>
      </x:c>
      <x:c r="D12" s="11" t="str">
        <x:v>UUCP × TCF × ECF</x:v>
      </x:c>
      <x:c r="E12" s="11" t="str">
        <x:v>Calculado</x:v>
      </x:c>
      <x:c r="F12" s="11" t="str">
        <x:v>Precisão mantida no cálculo</x:v>
      </x:c>
    </x:row>
    <x:row r="13" ht="40" customHeight="1">
      <x:c r="A13" s="9" t="str">
        <x:v>Produtividade adotada</x:v>
      </x:c>
      <x:c r="B13" s="16" t="n">
        <x:v>2</x:v>
      </x:c>
      <x:c r="C13" s="9" t="str">
        <x:v>h / PCU</x:v>
      </x:c>
      <x:c r="D13" s="9" t="str">
        <x:v>Premissa</x:v>
      </x:c>
      <x:c r="E13" s="9" t="str">
        <x:v>Editável</x:v>
      </x:c>
      <x:c r="F13" s="9" t="str">
        <x:v>Hipótese para PHP local, sem série histórica</x:v>
      </x:c>
    </x:row>
    <x:row r="14" ht="40" customHeight="1">
      <x:c r="A14" s="11" t="str">
        <x:v>Esforço pelo tamanho</x:v>
      </x:c>
      <x:c r="B14" s="13" t="n">
        <x:f>B12*B13</x:f>
        <x:v>66.89925</x:v>
      </x:c>
      <x:c r="C14" s="11" t="str">
        <x:v>h</x:v>
      </x:c>
      <x:c r="D14" s="11" t="str">
        <x:v>PCU × produtividade</x:v>
      </x:c>
      <x:c r="E14" s="11" t="str">
        <x:v>Calculado</x:v>
      </x:c>
      <x:c r="F14" s="11" t="str">
        <x:v>Inclui o ciclo completo</x:v>
      </x:c>
    </x:row>
    <x:row r="15" ht="40" customHeight="1">
      <x:c r="A15" s="9" t="str">
        <x:v>Esforço base arredondado</x:v>
      </x:c>
      <x:c r="B15" s="12" t="n">
        <x:f>ROUNDUP(B14,0)</x:f>
        <x:v>67</x:v>
      </x:c>
      <x:c r="C15" s="9" t="str">
        <x:v>h</x:v>
      </x:c>
      <x:c r="D15" s="9" t="str">
        <x:v>Arredondar para cima</x:v>
      </x:c>
      <x:c r="E15" s="9" t="str">
        <x:v>Calculado</x:v>
      </x:c>
      <x:c r="F15" s="9" t="str">
        <x:v>Referência para comparação com cronograma</x:v>
      </x:c>
    </x:row>
    <x:row r="16" ht="40" customHeight="1">
      <x:c r="A16" s="11" t="str">
        <x:v>Estimativa por atividades</x:v>
      </x:c>
      <x:c r="B16" s="13" t="n">
        <x:f>SUMIF(Esforco!B7:B31,"Base",Esforco!D7:D31)</x:f>
        <x:v>67</x:v>
      </x:c>
      <x:c r="C16" s="11" t="str">
        <x:v>h</x:v>
      </x:c>
      <x:c r="D16" s="11" t="str">
        <x:v>Esforco</x:v>
      </x:c>
      <x:c r="E16" s="11" t="str">
        <x:v>Calculado</x:v>
      </x:c>
      <x:c r="F16" s="11" t="str">
        <x:v>Distribuição independente por pacote de trabalho</x:v>
      </x:c>
    </x:row>
    <x:row r="17" ht="40" customHeight="1">
      <x:c r="A17" s="9" t="str">
        <x:v>Diferença de estimativas</x:v>
      </x:c>
      <x:c r="B17" s="12" t="n">
        <x:f>B16-B15</x:f>
        <x:v>0</x:v>
      </x:c>
      <x:c r="C17" s="9" t="str">
        <x:v>h</x:v>
      </x:c>
      <x:c r="D17" s="9" t="str">
        <x:v>Atividades − PCU</x:v>
      </x:c>
      <x:c r="E17" s="9" t="str">
        <x:v>Calculado</x:v>
      </x:c>
      <x:c r="F17" s="9" t="str">
        <x:v>Replanejar se houver diferença após editar premissas</x:v>
      </x:c>
    </x:row>
    <x:row r="18" ht="40" customHeight="1">
      <x:c r="A18" s="11" t="str">
        <x:v>Reserva explícita</x:v>
      </x:c>
      <x:c r="B18" s="13" t="n">
        <x:f>SUMIF(Esforco!B7:B31,"Reserva",Esforco!D7:D31)</x:f>
        <x:v>9</x:v>
      </x:c>
      <x:c r="C18" s="11" t="str">
        <x:v>h</x:v>
      </x:c>
      <x:c r="D18" s="11" t="str">
        <x:v>Esforco</x:v>
      </x:c>
      <x:c r="E18" s="11" t="str">
        <x:v>Calculado</x:v>
      </x:c>
      <x:c r="F18" s="11" t="str">
        <x:v>Revisões e correções; não é trabalho já executado</x:v>
      </x:c>
    </x:row>
    <x:row r="19" ht="40" customHeight="1">
      <x:c r="A19" s="9" t="str">
        <x:v>Total com reserva</x:v>
      </x:c>
      <x:c r="B19" s="12" t="n">
        <x:f>B16+B18</x:f>
        <x:v>76</x:v>
      </x:c>
      <x:c r="C19" s="9" t="str">
        <x:v>h</x:v>
      </x:c>
      <x:c r="D19" s="9" t="str">
        <x:v>Atividades + reserva</x:v>
      </x:c>
      <x:c r="E19" s="9" t="str">
        <x:v>Calculado</x:v>
      </x:c>
      <x:c r="F19" s="9" t="str">
        <x:v>É o total planejado no CRO</x:v>
      </x:c>
    </x:row>
    <x:row r="20" ht="22" customHeight="1">
      <x:c r="A20" s="2"/>
      <x:c r="B20" s="2"/>
      <x:c r="C20" s="2"/>
      <x:c r="D20" s="2"/>
      <x:c r="E20" s="2"/>
      <x:c r="F20" s="2"/>
    </x:row>
    <x:row r="21" ht="32" customHeight="1">
      <x:c r="A21" s="4" t="str">
        <x:v>Produtividade provisória. A decomposição em RFS não amplia o produto nem comprova que o esforço seja suficiente; revisar após a R1.</x:v>
      </x:c>
      <x:c r="B21" s="4"/>
      <x:c r="C21" s="4"/>
      <x:c r="D21" s="4"/>
      <x:c r="E21" s="4"/>
      <x:c r="F21" s="4"/>
    </x:row>
    <x:row r="22" ht="22" customHeight="1">
      <x:c r="A22" s="2"/>
      <x:c r="B22" s="2"/>
      <x:c r="C22" s="2"/>
      <x:c r="D22" s="2"/>
      <x:c r="E22" s="2"/>
      <x:c r="F22" s="2"/>
    </x:row>
    <x:row r="23" ht="32" customHeight="1">
      <x:c r="A23" s="7" t="str">
        <x:v>Cenário</x:v>
      </x:c>
      <x:c r="B23" s="7" t="str">
        <x:v>h / PCU</x:v>
      </x:c>
      <x:c r="C23" s="7" t="str">
        <x:v>Esforço base h</x:v>
      </x:c>
      <x:c r="D23" s="7" t="str">
        <x:v>Reserva h</x:v>
      </x:c>
      <x:c r="E23" s="7" t="str">
        <x:v>Total h</x:v>
      </x:c>
      <x:c r="F23" s="7" t="str">
        <x:v>Interpretação</x:v>
      </x:c>
    </x:row>
    <x:row r="24" ht="42" customHeight="1">
      <x:c r="A24" s="9" t="str">
        <x:v>Base</x:v>
      </x:c>
      <x:c r="B24" s="9" t="n">
        <x:f>B13</x:f>
        <x:v>2</x:v>
      </x:c>
      <x:c r="C24" s="9" t="n">
        <x:f>ROUNDUP($B$12*B24,0)</x:f>
        <x:v>67</x:v>
      </x:c>
      <x:c r="D24" s="9" t="n">
        <x:f>B18</x:f>
        <x:v>9</x:v>
      </x:c>
      <x:c r="E24" s="9" t="n">
        <x:f>C24+D24</x:f>
        <x:v>76</x:v>
      </x:c>
      <x:c r="F24" s="9" t="str">
        <x:v>Arquitetura simples e componentes reutilizados</x:v>
      </x:c>
    </x:row>
    <x:row r="25" ht="42" customHeight="1">
      <x:c r="A25" s="11" t="str">
        <x:v>Mais lento</x:v>
      </x:c>
      <x:c r="B25" s="17" t="n">
        <x:v>3</x:v>
      </x:c>
      <x:c r="C25" s="11" t="n">
        <x:f>ROUNDUP($B$12*B25,0)</x:f>
        <x:v>101</x:v>
      </x:c>
      <x:c r="D25" s="11" t="n">
        <x:f>B18</x:f>
        <x:v>9</x:v>
      </x:c>
      <x:c r="E25" s="11" t="n">
        <x:f>C25+D25</x:f>
        <x:v>110</x:v>
      </x:c>
      <x:c r="F25" s="11" t="str">
        <x:v>Mostra o impacto de aprendizado e retrabalho</x:v>
      </x:c>
    </x:row>
    <x:row r="26" ht="22" customHeight="1">
      <x:c r="A26" s="2"/>
      <x:c r="B26" s="2"/>
      <x:c r="C26" s="2"/>
      <x:c r="D26" s="2"/>
      <x:c r="E26" s="2"/>
      <x:c r="F26" s="2"/>
    </x:row>
    <x:row r="27" ht="32" customHeight="1">
      <x:c r="A27" s="4" t="str">
        <x:v>Método: Pontos de Caso de Uso, conforme modelo PCU da disciplina. Os exemplos e a base histórica fictícia do modelo não foram tratados como dados reais deste projeto.</x:v>
      </x:c>
      <x:c r="B27" s="4"/>
      <x:c r="C27" s="4"/>
      <x:c r="D27" s="4"/>
      <x:c r="E27" s="4"/>
      <x:c r="F27" s="4"/>
    </x:row>
    <x:row r="28" ht="22" customHeight="1">
      <x:c r="A28" s="2"/>
      <x:c r="B28" s="2"/>
      <x:c r="C28" s="2"/>
      <x:c r="D28" s="2"/>
      <x:c r="E28" s="2"/>
      <x:c r="F28" s="2"/>
    </x:row>
    <x:row r="29" ht="32" customHeight="1">
      <x:c r="A29" s="4" t="str">
        <x:v>Controle: mudanças nos fatores ou na produtividade recalculam a EST. A distribuição por atividade e os arquivos CRO/MRB exigem revisão conjunta; não há vínculos externos ocultos.</x:v>
      </x:c>
      <x:c r="B29" s="4"/>
      <x:c r="C29" s="4"/>
      <x:c r="D29" s="4"/>
      <x:c r="E29" s="4"/>
      <x:c r="F29" s="4"/>
    </x:row>
    <x:row r="30" ht="22" customHeight="1">
      <x:c r="A30" s="2"/>
      <x:c r="B30" s="2"/>
      <x:c r="C30" s="2"/>
      <x:c r="D30" s="2"/>
      <x:c r="E30" s="2"/>
      <x:c r="F30" s="2"/>
    </x:row>
    <x:row r="31" ht="22" customHeight="1">
      <x:c r="A31" s="2"/>
      <x:c r="B31" s="2"/>
      <x:c r="C31" s="2"/>
      <x:c r="D31" s="2"/>
      <x:c r="E31" s="2"/>
      <x:c r="F31" s="2"/>
    </x:row>
    <x:row r="32" ht="22" customHeight="1">
      <x:c r="A32" s="2"/>
      <x:c r="B32" s="2"/>
      <x:c r="C32" s="2"/>
      <x:c r="D32" s="2"/>
      <x:c r="E32" s="2"/>
      <x:c r="F32" s="2"/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22" customHeight="1">
      <x:c r="A41" s="2"/>
      <x:c r="B41" s="2"/>
      <x:c r="C41" s="2"/>
      <x:c r="D41" s="2"/>
      <x:c r="E41" s="2"/>
      <x:c r="F41" s="2"/>
    </x:row>
    <x:row r="42" ht="22" customHeight="1">
      <x:c r="A42" s="2"/>
      <x:c r="B42" s="2"/>
      <x:c r="C42" s="2"/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</x:sheetData>
  <x:mergeCells>
    <x:mergeCell ref="A4:F4"/>
    <x:mergeCell ref="A21:F21"/>
    <x:mergeCell ref="A27:F27"/>
    <x:mergeCell ref="A29:F29"/>
  </x:mergeCells>
  <x:conditionalFormatting sqref="B17:B17">
    <x:cfRule type="cellIs" dxfId="0" priority="1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1" hidden="0" customWidth="1"/>
    <x:col min="4" max="4" width="15" hidden="0" customWidth="1"/>
    <x:col min="5" max="5" width="16" hidden="0" customWidth="1"/>
    <x:col min="6" max="6" width="13" hidden="0" customWidth="1"/>
    <x:col min="7" max="7" width="12" hidden="0" customWidth="1"/>
    <x:col min="8" max="8" width="6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</x:row>
    <x:row r="2" ht="30" customHeight="1">
      <x:c r="A2" s="3" t="str">
        <x:v>Atores e casos de uso</x:v>
      </x:c>
      <x:c r="B2" s="2"/>
      <x:c r="C2" s="2"/>
      <x:c r="D2" s="2"/>
      <x:c r="E2" s="2"/>
      <x:c r="F2" s="2"/>
      <x:c r="G2" s="2"/>
      <x:c r="H2" s="2"/>
    </x:row>
    <x:row r="3" ht="22" customHeight="1">
      <x:c r="A3" s="2"/>
      <x:c r="B3" s="2"/>
      <x:c r="C3" s="2"/>
      <x:c r="D3" s="2"/>
      <x:c r="E3" s="2"/>
      <x:c r="F3" s="2"/>
      <x:c r="G3" s="2"/>
      <x:c r="H3" s="2"/>
    </x:row>
    <x:row r="4" ht="32" customHeight="1">
      <x:c r="A4" s="4" t="str">
        <x:v>Apenas o operador usa o sistema. A pessoa que recebe um objeto é um cadastro, não um segundo ator.</x:v>
      </x:c>
      <x:c r="B4" s="4"/>
      <x:c r="C4" s="4"/>
      <x:c r="D4" s="4"/>
      <x:c r="E4" s="4"/>
      <x:c r="F4" s="4"/>
      <x:c r="G4" s="4"/>
      <x:c r="H4" s="4"/>
    </x:row>
    <x:row r="5" ht="22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7" t="str">
        <x:v>Ator</x:v>
      </x:c>
      <x:c r="B6" s="7" t="str">
        <x:v>Tipo</x:v>
      </x:c>
      <x:c r="C6" s="7" t="str">
        <x:v>Quantidade</x:v>
      </x:c>
      <x:c r="D6" s="7" t="str">
        <x:v>Peso total</x:v>
      </x:c>
      <x:c r="E6" s="2"/>
      <x:c r="F6" s="2"/>
      <x:c r="G6" s="2"/>
      <x:c r="H6" s="2"/>
    </x:row>
    <x:row r="7" ht="30" customHeight="1">
      <x:c r="A7" s="9" t="str">
        <x:v>Operador</x:v>
      </x:c>
      <x:c r="B7" s="9" t="str">
        <x:v>Complexo</x:v>
      </x:c>
      <x:c r="C7" s="9" t="n">
        <x:v>1</x:v>
      </x:c>
      <x:c r="D7" s="9" t="n">
        <x:v>3</x:v>
      </x:c>
      <x:c r="E7" s="2"/>
      <x:c r="F7" s="2"/>
      <x:c r="G7" s="2"/>
      <x:c r="H7" s="2"/>
    </x:row>
    <x:row r="8" ht="22" customHeight="1">
      <x:c r="A8" s="2"/>
      <x:c r="B8" s="2"/>
      <x:c r="C8" s="2"/>
      <x:c r="D8" s="2"/>
      <x:c r="E8" s="2"/>
      <x:c r="F8" s="2"/>
      <x:c r="G8" s="2"/>
      <x:c r="H8" s="2"/>
    </x:row>
    <x:row r="9" ht="22" customHeight="1">
      <x:c r="A9" s="2"/>
      <x:c r="B9" s="2"/>
      <x:c r="C9" s="2"/>
      <x:c r="D9" s="2"/>
      <x:c r="E9" s="2"/>
      <x:c r="F9" s="2"/>
      <x:c r="G9" s="2"/>
      <x:c r="H9" s="2"/>
    </x:row>
    <x:row r="10" ht="22" customHeight="1">
      <x:c r="A10" s="2"/>
      <x:c r="B10" s="2"/>
      <x:c r="C10" s="2"/>
      <x:c r="D10" s="2"/>
      <x:c r="E10" s="2"/>
      <x:c r="F10" s="2"/>
      <x:c r="G10" s="2"/>
      <x:c r="H10" s="2"/>
    </x:row>
    <x:row r="11" ht="32" customHeight="1">
      <x:c r="A11" s="7" t="str">
        <x:v>Caso</x:v>
      </x:c>
      <x:c r="B11" s="7" t="str">
        <x:v>Requisito</x:v>
      </x:c>
      <x:c r="C11" s="7" t="str">
        <x:v>Objetivo</x:v>
      </x:c>
      <x:c r="D11" s="7" t="str">
        <x:v>Transações</x:v>
      </x:c>
      <x:c r="E11" s="7" t="str">
        <x:v>Classe</x:v>
      </x:c>
      <x:c r="F11" s="7" t="str">
        <x:v>Peso</x:v>
      </x:c>
      <x:c r="G11" s="7" t="str">
        <x:v>Release</x:v>
      </x:c>
      <x:c r="H11" s="7" t="str">
        <x:v>Transações consolidadas</x:v>
      </x:c>
    </x:row>
    <x:row r="12" ht="66" customHeight="1">
      <x:c r="A12" s="9" t="str">
        <x:v>UC01</x:v>
      </x:c>
      <x:c r="B12" s="9" t="str">
        <x:v>RFC01</x:v>
      </x:c>
      <x:c r="C12" s="9" t="str">
        <x:v>Manter pessoas</x:v>
      </x:c>
      <x:c r="D12" s="17" t="n">
        <x:v>4</x:v>
      </x:c>
      <x:c r="E12" s="9" t="str">
        <x:f>IF(D12&lt;=3,"Simples",IF(D12&lt;=7,"Médio","Complexo"))</x:f>
        <x:v>Médio</x:v>
      </x:c>
      <x:c r="F12" s="9" t="n">
        <x:f>IF(D12&lt;=3,5,IF(D12&lt;=7,10,15))</x:f>
        <x:v>10</x:v>
      </x:c>
      <x:c r="G12" s="9" t="str">
        <x:v>R1</x:v>
      </x:c>
      <x:c r="H12" s="9" t="str">
        <x:v>Incluir pessoa; consultar lista e detalhe; alterar cadastro; excluir cadastro sem vínculo.</x:v>
      </x:c>
    </x:row>
    <x:row r="13" ht="66" customHeight="1">
      <x:c r="A13" s="11" t="str">
        <x:v>UC02</x:v>
      </x:c>
      <x:c r="B13" s="11" t="str">
        <x:v>RFC02</x:v>
      </x:c>
      <x:c r="C13" s="11" t="str">
        <x:v>Manter categorias</x:v>
      </x:c>
      <x:c r="D13" s="17" t="n">
        <x:v>4</x:v>
      </x:c>
      <x:c r="E13" s="11" t="str">
        <x:f>IF(D13&lt;=3,"Simples",IF(D13&lt;=7,"Médio","Complexo"))</x:f>
        <x:v>Médio</x:v>
      </x:c>
      <x:c r="F13" s="11" t="n">
        <x:f>IF(D13&lt;=3,5,IF(D13&lt;=7,10,15))</x:f>
        <x:v>10</x:v>
      </x:c>
      <x:c r="G13" s="11" t="str">
        <x:v>R1</x:v>
      </x:c>
      <x:c r="H13" s="11" t="str">
        <x:v>Incluir categoria; consultar; alterar; excluir categoria sem objeto vinculado.</x:v>
      </x:c>
    </x:row>
    <x:row r="14" ht="66" customHeight="1">
      <x:c r="A14" s="9" t="str">
        <x:v>UC03</x:v>
      </x:c>
      <x:c r="B14" s="9" t="str">
        <x:v>RFC03</x:v>
      </x:c>
      <x:c r="C14" s="9" t="str">
        <x:v>Manter objetos</x:v>
      </x:c>
      <x:c r="D14" s="17" t="n">
        <x:v>4</x:v>
      </x:c>
      <x:c r="E14" s="9" t="str">
        <x:f>IF(D14&lt;=3,"Simples",IF(D14&lt;=7,"Médio","Complexo"))</x:f>
        <x:v>Médio</x:v>
      </x:c>
      <x:c r="F14" s="9" t="n">
        <x:f>IF(D14&lt;=3,5,IF(D14&lt;=7,10,15))</x:f>
        <x:v>10</x:v>
      </x:c>
      <x:c r="G14" s="9" t="str">
        <x:v>R2</x:v>
      </x:c>
      <x:c r="H14" s="9" t="str">
        <x:v>Incluir objeto; consultar disponibilidade; alterar cadastro; excluir objeto sem empréstimo vinculado.</x:v>
      </x:c>
    </x:row>
    <x:row r="15" ht="66" customHeight="1">
      <x:c r="A15" s="11" t="str">
        <x:v>UC04</x:v>
      </x:c>
      <x:c r="B15" s="11" t="str">
        <x:v>RFC04</x:v>
      </x:c>
      <x:c r="C15" s="11" t="str">
        <x:v>Controlar empréstimos</x:v>
      </x:c>
      <x:c r="D15" s="17" t="n">
        <x:v>5</x:v>
      </x:c>
      <x:c r="E15" s="11" t="str">
        <x:f>IF(D15&lt;=3,"Simples",IF(D15&lt;=7,"Médio","Complexo"))</x:f>
        <x:v>Médio</x:v>
      </x:c>
      <x:c r="F15" s="11" t="n">
        <x:f>IF(D15&lt;=3,5,IF(D15&lt;=7,10,15))</x:f>
        <x:v>10</x:v>
      </x:c>
      <x:c r="G15" s="11" t="str">
        <x:v>R2</x:v>
      </x:c>
      <x:c r="H15" s="11" t="str">
        <x:v>Registrar retirada; consultar; alterar previsão ou observação; excluir lançamento confirmado; registrar devolução.</x:v>
      </x:c>
    </x:row>
    <x:row r="16" ht="66" customHeight="1">
      <x:c r="A16" s="9" t="str">
        <x:v>UC05</x:v>
      </x:c>
      <x:c r="B16" s="9" t="str">
        <x:v>RFC05</x:v>
      </x:c>
      <x:c r="C16" s="9" t="str">
        <x:v>Consultar pendências</x:v>
      </x:c>
      <x:c r="D16" s="17" t="n">
        <x:v>2</x:v>
      </x:c>
      <x:c r="E16" s="9" t="str">
        <x:f>IF(D16&lt;=3,"Simples",IF(D16&lt;=7,"Médio","Complexo"))</x:f>
        <x:v>Simples</x:v>
      </x:c>
      <x:c r="F16" s="9" t="n">
        <x:f>IF(D16&lt;=3,5,IF(D16&lt;=7,10,15))</x:f>
        <x:v>5</x:v>
      </x:c>
      <x:c r="G16" s="9" t="str">
        <x:v>R3</x:v>
      </x:c>
      <x:c r="H16" s="9" t="str">
        <x:v>Informar filtros; receber lista de empréstimos abertos, atrasos e totais.</x:v>
      </x:c>
    </x:row>
    <x:row r="17" ht="66" customHeight="1">
      <x:c r="A17" s="11" t="str">
        <x:v>UC06</x:v>
      </x:c>
      <x:c r="B17" s="11" t="str">
        <x:v>RFC06</x:v>
      </x:c>
      <x:c r="C17" s="11" t="str">
        <x:v>Consultar histórico</x:v>
      </x:c>
      <x:c r="D17" s="17" t="n">
        <x:v>2</x:v>
      </x:c>
      <x:c r="E17" s="11" t="str">
        <x:f>IF(D17&lt;=3,"Simples",IF(D17&lt;=7,"Médio","Complexo"))</x:f>
        <x:v>Simples</x:v>
      </x:c>
      <x:c r="F17" s="11" t="n">
        <x:f>IF(D17&lt;=3,5,IF(D17&lt;=7,10,15))</x:f>
        <x:v>5</x:v>
      </x:c>
      <x:c r="G17" s="11" t="str">
        <x:v>R4</x:v>
      </x:c>
      <x:c r="H17" s="11" t="str">
        <x:v>Informar período e filtros; receber histórico e totais de abertos e devolvidos.</x:v>
      </x:c>
    </x:row>
    <x:row r="18" ht="22" customHeight="1">
      <x:c r="A18" s="2"/>
      <x:c r="B18" s="2"/>
      <x:c r="C18" s="2"/>
      <x:c r="D18" s="2"/>
      <x:c r="E18" s="2"/>
      <x:c r="F18" s="2"/>
      <x:c r="G18" s="2"/>
      <x:c r="H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</x:row>
    <x:row r="20" ht="48" customHeight="1">
      <x:c r="A20" s="4" t="str">
        <x:v>Convenção de contagem: cada transação é uma operação de negócio completa com pedido e resposta do sistema. Os fluxos de manutenção agrupam inclusão, consulta, alteração e exclusão. Não se contam campos, cliques nem telas.</x:v>
      </x:c>
      <x:c r="B20" s="4"/>
      <x:c r="C20" s="4"/>
      <x:c r="D20" s="4"/>
      <x:c r="E20" s="4"/>
      <x:c r="F20" s="4"/>
      <x:c r="G20" s="4"/>
      <x:c r="H20" s="4"/>
    </x:row>
    <x:row r="21" ht="22" customHeight="1">
      <x:c r="A21" s="2"/>
      <x:c r="B21" s="2"/>
      <x:c r="C21" s="2"/>
      <x:c r="D21" s="2"/>
      <x:c r="E21" s="2"/>
      <x:c r="F21" s="2"/>
      <x:c r="G21" s="2"/>
      <x:c r="H21" s="2"/>
    </x:row>
    <x:row r="22" ht="32" customHeight="1">
      <x:c r="A22" s="4" t="str">
        <x:v>Os 19 RFSs detalham os seis casos agregados. UC04 inclui devolução. A aba Detalhamento mostra a correspondência, sem somar os RFSs novamente.</x:v>
      </x:c>
      <x:c r="B22" s="4"/>
      <x:c r="C22" s="4"/>
      <x:c r="D22" s="4"/>
      <x:c r="E22" s="4"/>
      <x:c r="F22" s="4"/>
      <x:c r="G22" s="4"/>
      <x:c r="H22" s="4"/>
    </x:row>
    <x:row r="23" ht="22" customHeight="1">
      <x:c r="A23" s="2"/>
      <x:c r="B23" s="2"/>
      <x:c r="C23" s="2"/>
      <x:c r="D23" s="2"/>
      <x:c r="E23" s="2"/>
      <x:c r="F23" s="2"/>
      <x:c r="G23" s="2"/>
      <x:c r="H23" s="2"/>
    </x:row>
    <x:row r="24" ht="32" customHeight="1">
      <x:c r="A24" s="4" t="str">
        <x:v>Pesos: ator por interface gráfica = 3. Casos simples: até 3 transações = 5; médios: 4 a 7 = 10; complexos: acima de 7 = 15.</x:v>
      </x:c>
      <x:c r="B24" s="4"/>
      <x:c r="C24" s="4"/>
      <x:c r="D24" s="4"/>
      <x:c r="E24" s="4"/>
      <x:c r="F24" s="4"/>
      <x:c r="G24" s="4"/>
      <x:c r="H24" s="4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</x:row>
    <x:row r="36" ht="22" customHeight="1">
      <x:c r="A36" s="2"/>
      <x:c r="B36" s="2"/>
      <x:c r="C36" s="2"/>
      <x:c r="D36" s="2"/>
      <x:c r="E36" s="2"/>
      <x:c r="F36" s="2"/>
      <x:c r="G36" s="2"/>
      <x:c r="H36" s="2"/>
    </x:row>
    <x:row r="37" ht="22" customHeight="1">
      <x:c r="A37" s="2"/>
      <x:c r="B37" s="2"/>
      <x:c r="C37" s="2"/>
      <x:c r="D37" s="2"/>
      <x:c r="E37" s="2"/>
      <x:c r="F37" s="2"/>
      <x:c r="G37" s="2"/>
      <x:c r="H37" s="2"/>
    </x:row>
    <x:row r="38" ht="22" customHeight="1">
      <x:c r="A38" s="2"/>
      <x:c r="B38" s="2"/>
      <x:c r="C38" s="2"/>
      <x:c r="D38" s="2"/>
      <x:c r="E38" s="2"/>
      <x:c r="F38" s="2"/>
      <x:c r="G38" s="2"/>
      <x:c r="H38" s="2"/>
    </x:row>
    <x:row r="39" ht="22" customHeight="1">
      <x:c r="A39" s="2"/>
      <x:c r="B39" s="2"/>
      <x:c r="C39" s="2"/>
      <x:c r="D39" s="2"/>
      <x:c r="E39" s="2"/>
      <x:c r="F39" s="2"/>
      <x:c r="G39" s="2"/>
      <x:c r="H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</x:row>
    <x:row r="41" ht="22" customHeight="1">
      <x:c r="A41" s="2"/>
      <x:c r="B41" s="2"/>
      <x:c r="C41" s="2"/>
      <x:c r="D41" s="2"/>
      <x:c r="E41" s="2"/>
      <x:c r="F41" s="2"/>
      <x:c r="G41" s="2"/>
      <x:c r="H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</x:row>
    <x:row r="49" ht="22" customHeight="1">
      <x:c r="A49" s="2"/>
      <x:c r="B49" s="2"/>
      <x:c r="C49" s="2"/>
      <x:c r="D49" s="2"/>
      <x:c r="E49" s="2"/>
      <x:c r="F49" s="2"/>
      <x:c r="G49" s="2"/>
      <x:c r="H49" s="2"/>
    </x:row>
    <x:row r="50" ht="22" customHeight="1">
      <x:c r="A50" s="2"/>
      <x:c r="B50" s="2"/>
      <x:c r="C50" s="2"/>
      <x:c r="D50" s="2"/>
      <x:c r="E50" s="2"/>
      <x:c r="F50" s="2"/>
      <x:c r="G50" s="2"/>
      <x:c r="H50" s="2"/>
    </x:row>
    <x:row r="51" ht="22" customHeight="1">
      <x:c r="A51" s="2"/>
      <x:c r="B51" s="2"/>
      <x:c r="C51" s="2"/>
      <x:c r="D51" s="2"/>
      <x:c r="E51" s="2"/>
      <x:c r="F51" s="2"/>
      <x:c r="G51" s="2"/>
      <x:c r="H51" s="2"/>
    </x:row>
    <x:row r="52" ht="22" customHeight="1">
      <x:c r="A52" s="2"/>
      <x:c r="B52" s="2"/>
      <x:c r="C52" s="2"/>
      <x:c r="D52" s="2"/>
      <x:c r="E52" s="2"/>
      <x:c r="F52" s="2"/>
      <x:c r="G52" s="2"/>
      <x:c r="H52" s="2"/>
    </x:row>
    <x:row r="53" ht="22" customHeight="1">
      <x:c r="A53" s="2"/>
      <x:c r="B53" s="2"/>
      <x:c r="C53" s="2"/>
      <x:c r="D53" s="2"/>
      <x:c r="E53" s="2"/>
      <x:c r="F53" s="2"/>
      <x:c r="G53" s="2"/>
      <x:c r="H53" s="2"/>
    </x:row>
    <x:row r="54" ht="22" customHeight="1">
      <x:c r="A54" s="2"/>
      <x:c r="B54" s="2"/>
      <x:c r="C54" s="2"/>
      <x:c r="D54" s="2"/>
      <x:c r="E54" s="2"/>
      <x:c r="F54" s="2"/>
      <x:c r="G54" s="2"/>
      <x:c r="H54" s="2"/>
    </x:row>
    <x:row r="55" ht="22" customHeight="1">
      <x:c r="A55" s="2"/>
      <x:c r="B55" s="2"/>
      <x:c r="C55" s="2"/>
      <x:c r="D55" s="2"/>
      <x:c r="E55" s="2"/>
      <x:c r="F55" s="2"/>
      <x:c r="G55" s="2"/>
      <x:c r="H55" s="2"/>
    </x:row>
    <x:row r="56" ht="22" customHeight="1">
      <x:c r="A56" s="2"/>
      <x:c r="B56" s="2"/>
      <x:c r="C56" s="2"/>
      <x:c r="D56" s="2"/>
      <x:c r="E56" s="2"/>
      <x:c r="F56" s="2"/>
      <x:c r="G56" s="2"/>
      <x:c r="H56" s="2"/>
    </x:row>
    <x:row r="57" ht="22" customHeight="1">
      <x:c r="A57" s="2"/>
      <x:c r="B57" s="2"/>
      <x:c r="C57" s="2"/>
      <x:c r="D57" s="2"/>
      <x:c r="E57" s="2"/>
      <x:c r="F57" s="2"/>
      <x:c r="G57" s="2"/>
      <x:c r="H57" s="2"/>
    </x:row>
    <x:row r="58" ht="22" customHeight="1">
      <x:c r="A58" s="2"/>
      <x:c r="B58" s="2"/>
      <x:c r="C58" s="2"/>
      <x:c r="D58" s="2"/>
      <x:c r="E58" s="2"/>
      <x:c r="F58" s="2"/>
      <x:c r="G58" s="2"/>
      <x:c r="H58" s="2"/>
    </x:row>
    <x:row r="59" ht="22" customHeight="1">
      <x:c r="A59" s="2"/>
      <x:c r="B59" s="2"/>
      <x:c r="C59" s="2"/>
      <x:c r="D59" s="2"/>
      <x:c r="E59" s="2"/>
      <x:c r="F59" s="2"/>
      <x:c r="G59" s="2"/>
      <x:c r="H59" s="2"/>
    </x:row>
    <x:row r="60" ht="22" customHeight="1">
      <x:c r="A60" s="2"/>
      <x:c r="B60" s="2"/>
      <x:c r="C60" s="2"/>
      <x:c r="D60" s="2"/>
      <x:c r="E60" s="2"/>
      <x:c r="F60" s="2"/>
      <x:c r="G60" s="2"/>
      <x:c r="H60" s="2"/>
    </x:row>
    <x:row r="61" ht="22" customHeight="1">
      <x:c r="A61" s="2"/>
      <x:c r="B61" s="2"/>
      <x:c r="C61" s="2"/>
      <x:c r="D61" s="2"/>
      <x:c r="E61" s="2"/>
      <x:c r="F61" s="2"/>
      <x:c r="G61" s="2"/>
      <x:c r="H61" s="2"/>
    </x:row>
    <x:row r="62" ht="22" customHeight="1">
      <x:c r="A62" s="2"/>
      <x:c r="B62" s="2"/>
      <x:c r="C62" s="2"/>
      <x:c r="D62" s="2"/>
      <x:c r="E62" s="2"/>
      <x:c r="F62" s="2"/>
      <x:c r="G62" s="2"/>
      <x:c r="H62" s="2"/>
    </x:row>
    <x:row r="63" ht="22" customHeight="1">
      <x:c r="A63" s="2"/>
      <x:c r="B63" s="2"/>
      <x:c r="C63" s="2"/>
      <x:c r="D63" s="2"/>
      <x:c r="E63" s="2"/>
      <x:c r="F63" s="2"/>
      <x:c r="G63" s="2"/>
      <x:c r="H63" s="2"/>
    </x:row>
    <x:row r="64" ht="22" customHeight="1">
      <x:c r="A64" s="2"/>
      <x:c r="B64" s="2"/>
      <x:c r="C64" s="2"/>
      <x:c r="D64" s="2"/>
      <x:c r="E64" s="2"/>
      <x:c r="F64" s="2"/>
      <x:c r="G64" s="2"/>
      <x:c r="H64" s="2"/>
    </x:row>
    <x:row r="65" ht="22" customHeight="1">
      <x:c r="A65" s="2"/>
      <x:c r="B65" s="2"/>
      <x:c r="C65" s="2"/>
      <x:c r="D65" s="2"/>
      <x:c r="E65" s="2"/>
      <x:c r="F65" s="2"/>
      <x:c r="G65" s="2"/>
      <x:c r="H65" s="2"/>
    </x:row>
    <x:row r="66" ht="22" customHeight="1">
      <x:c r="A66" s="2"/>
      <x:c r="B66" s="2"/>
      <x:c r="C66" s="2"/>
      <x:c r="D66" s="2"/>
      <x:c r="E66" s="2"/>
      <x:c r="F66" s="2"/>
      <x:c r="G66" s="2"/>
      <x:c r="H66" s="2"/>
    </x:row>
    <x:row r="67" ht="22" customHeight="1">
      <x:c r="A67" s="2"/>
      <x:c r="B67" s="2"/>
      <x:c r="C67" s="2"/>
      <x:c r="D67" s="2"/>
      <x:c r="E67" s="2"/>
      <x:c r="F67" s="2"/>
      <x:c r="G67" s="2"/>
      <x:c r="H67" s="2"/>
    </x:row>
    <x:row r="68" ht="22" customHeight="1">
      <x:c r="A68" s="2"/>
      <x:c r="B68" s="2"/>
      <x:c r="C68" s="2"/>
      <x:c r="D68" s="2"/>
      <x:c r="E68" s="2"/>
      <x:c r="F68" s="2"/>
      <x:c r="G68" s="2"/>
      <x:c r="H68" s="2"/>
    </x:row>
    <x:row r="69" ht="22" customHeight="1">
      <x:c r="A69" s="2"/>
      <x:c r="B69" s="2"/>
      <x:c r="C69" s="2"/>
      <x:c r="D69" s="2"/>
      <x:c r="E69" s="2"/>
      <x:c r="F69" s="2"/>
      <x:c r="G69" s="2"/>
      <x:c r="H69" s="2"/>
    </x:row>
    <x:row r="70" ht="22" customHeight="1">
      <x:c r="A70" s="2"/>
      <x:c r="B70" s="2"/>
      <x:c r="C70" s="2"/>
      <x:c r="D70" s="2"/>
      <x:c r="E70" s="2"/>
      <x:c r="F70" s="2"/>
      <x:c r="G70" s="2"/>
      <x:c r="H70" s="2"/>
    </x:row>
    <x:row r="71" ht="22" customHeight="1">
      <x:c r="A71" s="2"/>
      <x:c r="B71" s="2"/>
      <x:c r="C71" s="2"/>
      <x:c r="D71" s="2"/>
      <x:c r="E71" s="2"/>
      <x:c r="F71" s="2"/>
      <x:c r="G71" s="2"/>
      <x:c r="H71" s="2"/>
    </x:row>
    <x:row r="72" ht="22" customHeight="1">
      <x:c r="A72" s="2"/>
      <x:c r="B72" s="2"/>
      <x:c r="C72" s="2"/>
      <x:c r="D72" s="2"/>
      <x:c r="E72" s="2"/>
      <x:c r="F72" s="2"/>
      <x:c r="G72" s="2"/>
      <x:c r="H72" s="2"/>
    </x:row>
    <x:row r="73" ht="22" customHeight="1">
      <x:c r="A73" s="2"/>
      <x:c r="B73" s="2"/>
      <x:c r="C73" s="2"/>
      <x:c r="D73" s="2"/>
      <x:c r="E73" s="2"/>
      <x:c r="F73" s="2"/>
      <x:c r="G73" s="2"/>
      <x:c r="H73" s="2"/>
    </x:row>
    <x:row r="74" ht="22" customHeight="1">
      <x:c r="A74" s="2"/>
      <x:c r="B74" s="2"/>
      <x:c r="C74" s="2"/>
      <x:c r="D74" s="2"/>
      <x:c r="E74" s="2"/>
      <x:c r="F74" s="2"/>
      <x:c r="G74" s="2"/>
      <x:c r="H74" s="2"/>
    </x:row>
    <x:row r="75" ht="22" customHeight="1">
      <x:c r="A75" s="2"/>
      <x:c r="B75" s="2"/>
      <x:c r="C75" s="2"/>
      <x:c r="D75" s="2"/>
      <x:c r="E75" s="2"/>
      <x:c r="F75" s="2"/>
      <x:c r="G75" s="2"/>
      <x:c r="H75" s="2"/>
    </x:row>
    <x:row r="76" ht="22" customHeight="1">
      <x:c r="A76" s="2"/>
      <x:c r="B76" s="2"/>
      <x:c r="C76" s="2"/>
      <x:c r="D76" s="2"/>
      <x:c r="E76" s="2"/>
      <x:c r="F76" s="2"/>
      <x:c r="G76" s="2"/>
      <x:c r="H76" s="2"/>
    </x:row>
    <x:row r="77" ht="22" customHeight="1">
      <x:c r="A77" s="2"/>
      <x:c r="B77" s="2"/>
      <x:c r="C77" s="2"/>
      <x:c r="D77" s="2"/>
      <x:c r="E77" s="2"/>
      <x:c r="F77" s="2"/>
      <x:c r="G77" s="2"/>
      <x:c r="H77" s="2"/>
    </x:row>
    <x:row r="78" ht="22" customHeight="1">
      <x:c r="A78" s="2"/>
      <x:c r="B78" s="2"/>
      <x:c r="C78" s="2"/>
      <x:c r="D78" s="2"/>
      <x:c r="E78" s="2"/>
      <x:c r="F78" s="2"/>
      <x:c r="G78" s="2"/>
      <x:c r="H78" s="2"/>
    </x:row>
    <x:row r="79" ht="22" customHeight="1">
      <x:c r="A79" s="2"/>
      <x:c r="B79" s="2"/>
      <x:c r="C79" s="2"/>
      <x:c r="D79" s="2"/>
      <x:c r="E79" s="2"/>
      <x:c r="F79" s="2"/>
      <x:c r="G79" s="2"/>
      <x:c r="H79" s="2"/>
    </x:row>
    <x:row r="80" ht="22" customHeight="1">
      <x:c r="A80" s="2"/>
      <x:c r="B80" s="2"/>
      <x:c r="C80" s="2"/>
      <x:c r="D80" s="2"/>
      <x:c r="E80" s="2"/>
      <x:c r="F80" s="2"/>
      <x:c r="G80" s="2"/>
      <x:c r="H80" s="2"/>
    </x:row>
    <x:row r="81" ht="22" customHeight="1">
      <x:c r="A81" s="2"/>
      <x:c r="B81" s="2"/>
      <x:c r="C81" s="2"/>
      <x:c r="D81" s="2"/>
      <x:c r="E81" s="2"/>
      <x:c r="F81" s="2"/>
      <x:c r="G81" s="2"/>
      <x:c r="H81" s="2"/>
    </x:row>
    <x:row r="82" ht="22" customHeight="1">
      <x:c r="A82" s="2"/>
      <x:c r="B82" s="2"/>
      <x:c r="C82" s="2"/>
      <x:c r="D82" s="2"/>
      <x:c r="E82" s="2"/>
      <x:c r="F82" s="2"/>
      <x:c r="G82" s="2"/>
      <x:c r="H82" s="2"/>
    </x:row>
    <x:row r="83" ht="22" customHeight="1">
      <x:c r="A83" s="2"/>
      <x:c r="B83" s="2"/>
      <x:c r="C83" s="2"/>
      <x:c r="D83" s="2"/>
      <x:c r="E83" s="2"/>
      <x:c r="F83" s="2"/>
      <x:c r="G83" s="2"/>
      <x:c r="H83" s="2"/>
    </x:row>
    <x:row r="84" ht="22" customHeight="1">
      <x:c r="A84" s="2"/>
      <x:c r="B84" s="2"/>
      <x:c r="C84" s="2"/>
      <x:c r="D84" s="2"/>
      <x:c r="E84" s="2"/>
      <x:c r="F84" s="2"/>
      <x:c r="G84" s="2"/>
      <x:c r="H84" s="2"/>
    </x:row>
    <x:row r="85" ht="22" customHeight="1">
      <x:c r="A85" s="2"/>
      <x:c r="B85" s="2"/>
      <x:c r="C85" s="2"/>
      <x:c r="D85" s="2"/>
      <x:c r="E85" s="2"/>
      <x:c r="F85" s="2"/>
      <x:c r="G85" s="2"/>
      <x:c r="H85" s="2"/>
    </x:row>
    <x:row r="86" ht="22" customHeight="1">
      <x:c r="A86" s="2"/>
      <x:c r="B86" s="2"/>
      <x:c r="C86" s="2"/>
      <x:c r="D86" s="2"/>
      <x:c r="E86" s="2"/>
      <x:c r="F86" s="2"/>
      <x:c r="G86" s="2"/>
      <x:c r="H86" s="2"/>
    </x:row>
    <x:row r="87" ht="22" customHeight="1">
      <x:c r="A87" s="2"/>
      <x:c r="B87" s="2"/>
      <x:c r="C87" s="2"/>
      <x:c r="D87" s="2"/>
      <x:c r="E87" s="2"/>
      <x:c r="F87" s="2"/>
      <x:c r="G87" s="2"/>
      <x:c r="H87" s="2"/>
    </x:row>
    <x:row r="88" ht="22" customHeight="1">
      <x:c r="A88" s="2"/>
      <x:c r="B88" s="2"/>
      <x:c r="C88" s="2"/>
      <x:c r="D88" s="2"/>
      <x:c r="E88" s="2"/>
      <x:c r="F88" s="2"/>
      <x:c r="G88" s="2"/>
      <x:c r="H88" s="2"/>
    </x:row>
    <x:row r="89" ht="22" customHeight="1">
      <x:c r="A89" s="2"/>
      <x:c r="B89" s="2"/>
      <x:c r="C89" s="2"/>
      <x:c r="D89" s="2"/>
      <x:c r="E89" s="2"/>
      <x:c r="F89" s="2"/>
      <x:c r="G89" s="2"/>
      <x:c r="H89" s="2"/>
    </x:row>
    <x:row r="90" ht="22" customHeight="1">
      <x:c r="A90" s="2"/>
      <x:c r="B90" s="2"/>
      <x:c r="C90" s="2"/>
      <x:c r="D90" s="2"/>
      <x:c r="E90" s="2"/>
      <x:c r="F90" s="2"/>
      <x:c r="G90" s="2"/>
      <x:c r="H90" s="2"/>
    </x:row>
    <x:row r="91" ht="22" customHeight="1">
      <x:c r="A91" s="2"/>
      <x:c r="B91" s="2"/>
      <x:c r="C91" s="2"/>
      <x:c r="D91" s="2"/>
      <x:c r="E91" s="2"/>
      <x:c r="F91" s="2"/>
      <x:c r="G91" s="2"/>
      <x:c r="H91" s="2"/>
    </x:row>
    <x:row r="92" ht="22" customHeight="1">
      <x:c r="A92" s="2"/>
      <x:c r="B92" s="2"/>
      <x:c r="C92" s="2"/>
      <x:c r="D92" s="2"/>
      <x:c r="E92" s="2"/>
      <x:c r="F92" s="2"/>
      <x:c r="G92" s="2"/>
      <x:c r="H92" s="2"/>
    </x:row>
    <x:row r="93" ht="22" customHeight="1">
      <x:c r="A93" s="2"/>
      <x:c r="B93" s="2"/>
      <x:c r="C93" s="2"/>
      <x:c r="D93" s="2"/>
      <x:c r="E93" s="2"/>
      <x:c r="F93" s="2"/>
      <x:c r="G93" s="2"/>
      <x:c r="H93" s="2"/>
    </x:row>
    <x:row r="94" ht="22" customHeight="1">
      <x:c r="A94" s="2"/>
      <x:c r="B94" s="2"/>
      <x:c r="C94" s="2"/>
      <x:c r="D94" s="2"/>
      <x:c r="E94" s="2"/>
      <x:c r="F94" s="2"/>
      <x:c r="G94" s="2"/>
      <x:c r="H94" s="2"/>
    </x:row>
    <x:row r="95" ht="22" customHeight="1">
      <x:c r="A95" s="2"/>
      <x:c r="B95" s="2"/>
      <x:c r="C95" s="2"/>
      <x:c r="D95" s="2"/>
      <x:c r="E95" s="2"/>
      <x:c r="F95" s="2"/>
      <x:c r="G95" s="2"/>
      <x:c r="H95" s="2"/>
    </x:row>
    <x:row r="96" ht="22" customHeight="1">
      <x:c r="A96" s="2"/>
      <x:c r="B96" s="2"/>
      <x:c r="C96" s="2"/>
      <x:c r="D96" s="2"/>
      <x:c r="E96" s="2"/>
      <x:c r="F96" s="2"/>
      <x:c r="G96" s="2"/>
      <x:c r="H96" s="2"/>
    </x:row>
    <x:row r="97" ht="22" customHeight="1">
      <x:c r="A97" s="2"/>
      <x:c r="B97" s="2"/>
      <x:c r="C97" s="2"/>
      <x:c r="D97" s="2"/>
      <x:c r="E97" s="2"/>
      <x:c r="F97" s="2"/>
      <x:c r="G97" s="2"/>
      <x:c r="H97" s="2"/>
    </x:row>
    <x:row r="98" ht="22" customHeight="1">
      <x:c r="A98" s="2"/>
      <x:c r="B98" s="2"/>
      <x:c r="C98" s="2"/>
      <x:c r="D98" s="2"/>
      <x:c r="E98" s="2"/>
      <x:c r="F98" s="2"/>
      <x:c r="G98" s="2"/>
      <x:c r="H98" s="2"/>
    </x:row>
    <x:row r="99" ht="22" customHeight="1">
      <x:c r="A99" s="2"/>
      <x:c r="B99" s="2"/>
      <x:c r="C99" s="2"/>
      <x:c r="D99" s="2"/>
      <x:c r="E99" s="2"/>
      <x:c r="F99" s="2"/>
      <x:c r="G99" s="2"/>
      <x:c r="H99" s="2"/>
    </x:row>
    <x:row r="100" ht="22" customHeight="1">
      <x:c r="A100" s="2"/>
      <x:c r="B100" s="2"/>
      <x:c r="C100" s="2"/>
      <x:c r="D100" s="2"/>
      <x:c r="E100" s="2"/>
      <x:c r="F100" s="2"/>
      <x:c r="G100" s="2"/>
      <x:c r="H100" s="2"/>
    </x:row>
  </x:sheetData>
  <x:mergeCells>
    <x:mergeCell ref="A4:H4"/>
    <x:mergeCell ref="A20:H20"/>
    <x:mergeCell ref="A22:H22"/>
    <x:mergeCell ref="A24:H24"/>
  </x:mergeCells>
  <x:dataValidations count="1">
    <x:dataValidation type="whole" operator="between" sqref="D12:D17">
      <x:formula1>1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4" topLeftCell="A25" activePane="bottomLeft" state="frozen"/>
    </x:sheetView>
  </x:sheetViews>
  <x:sheetFormatPr defaultRowHeight="15"/>
  <x:cols>
    <x:col min="1" max="1" width="10" hidden="0" customWidth="1"/>
    <x:col min="2" max="2" width="40" hidden="0" customWidth="1"/>
    <x:col min="3" max="3" width="12" hidden="0" customWidth="1"/>
    <x:col min="4" max="4" width="14" hidden="0" customWidth="1"/>
    <x:col min="5" max="5" width="15" hidden="0" customWidth="1"/>
    <x:col min="6" max="6" width="74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30" customHeight="1">
      <x:c r="A2" s="3" t="str">
        <x:v>Fatores técnicos e ambientais</x:v>
      </x:c>
      <x:c r="B2" s="2"/>
      <x:c r="C2" s="2"/>
      <x:c r="D2" s="2"/>
      <x:c r="E2" s="2"/>
      <x:c r="F2" s="2"/>
    </x:row>
    <x:row r="3" ht="22" customHeight="1">
      <x:c r="A3" s="2"/>
      <x:c r="B3" s="2"/>
      <x:c r="C3" s="2"/>
      <x:c r="D3" s="2"/>
      <x:c r="E3" s="2"/>
      <x:c r="F3" s="2"/>
    </x:row>
    <x:row r="4" ht="22" customHeight="1">
      <x:c r="A4" s="2"/>
      <x:c r="B4" s="2"/>
      <x:c r="C4" s="2"/>
      <x:c r="D4" s="2"/>
      <x:c r="E4" s="2"/>
      <x:c r="F4" s="2"/>
    </x:row>
    <x:row r="5" ht="22" customHeight="1">
      <x:c r="A5" s="2"/>
      <x:c r="B5" s="2"/>
      <x:c r="C5" s="2"/>
      <x:c r="D5" s="2"/>
      <x:c r="E5" s="2"/>
      <x:c r="F5" s="2"/>
    </x:row>
    <x:row r="6" ht="32" customHeight="1">
      <x:c r="A6" s="7" t="str">
        <x:v>ID</x:v>
      </x:c>
      <x:c r="B6" s="7" t="str">
        <x:v>Fator técnico</x:v>
      </x:c>
      <x:c r="C6" s="7" t="str">
        <x:v>Peso</x:v>
      </x:c>
      <x:c r="D6" s="7" t="str">
        <x:v>Influência</x:v>
      </x:c>
      <x:c r="E6" s="7" t="str">
        <x:v>Produto</x:v>
      </x:c>
      <x:c r="F6" s="7" t="str">
        <x:v>Justificativa</x:v>
      </x:c>
    </x:row>
    <x:row r="7" ht="36" customHeight="1">
      <x:c r="A7" s="9" t="str">
        <x:v>T01</x:v>
      </x:c>
      <x:c r="B7" s="9" t="str">
        <x:v>Sistemas distribuídos</x:v>
      </x:c>
      <x:c r="C7" s="12" t="n">
        <x:v>2</x:v>
      </x:c>
      <x:c r="D7" s="16" t="n">
        <x:v>0</x:v>
      </x:c>
      <x:c r="E7" s="12" t="n">
        <x:f>C7*D7</x:f>
        <x:v>0</x:v>
      </x:c>
      <x:c r="F7" s="9" t="str">
        <x:v>Aplicação e banco no mesmo computador.</x:v>
      </x:c>
    </x:row>
    <x:row r="8" ht="36" customHeight="1">
      <x:c r="A8" s="11" t="str">
        <x:v>T02</x:v>
      </x:c>
      <x:c r="B8" s="11" t="str">
        <x:v>Tempo de resposta</x:v>
      </x:c>
      <x:c r="C8" s="13" t="n">
        <x:v>1</x:v>
      </x:c>
      <x:c r="D8" s="16" t="n">
        <x:v>1</x:v>
      </x:c>
      <x:c r="E8" s="13" t="n">
        <x:f>C8*D8</x:f>
        <x:v>1</x:v>
      </x:c>
      <x:c r="F8" s="11" t="str">
        <x:v>Meta local simples de até 2 segundos.</x:v>
      </x:c>
    </x:row>
    <x:row r="9" ht="36" customHeight="1">
      <x:c r="A9" s="9" t="str">
        <x:v>T03</x:v>
      </x:c>
      <x:c r="B9" s="9" t="str">
        <x:v>Grau de escolaridade do usuário final</x:v>
      </x:c>
      <x:c r="C9" s="12" t="n">
        <x:v>1</x:v>
      </x:c>
      <x:c r="D9" s="16" t="n">
        <x:v>0</x:v>
      </x:c>
      <x:c r="E9" s="12" t="n">
        <x:f>C9*D9</x:f>
        <x:v>0</x:v>
      </x:c>
      <x:c r="F9" s="9" t="str">
        <x:v>Sem exigência técnica especial para o operador.</x:v>
      </x:c>
    </x:row>
    <x:row r="10" ht="36" customHeight="1">
      <x:c r="A10" s="11" t="str">
        <x:v>T04</x:v>
      </x:c>
      <x:c r="B10" s="11" t="str">
        <x:v>Processamento interno complexo</x:v>
      </x:c>
      <x:c r="C10" s="13" t="n">
        <x:v>1</x:v>
      </x:c>
      <x:c r="D10" s="16" t="n">
        <x:v>1</x:v>
      </x:c>
      <x:c r="E10" s="13" t="n">
        <x:f>C10*D10</x:f>
        <x:v>1</x:v>
      </x:c>
      <x:c r="F10" s="11" t="str">
        <x:v>Validações de datas e disponibilidade, sem otimização complexa.</x:v>
      </x:c>
    </x:row>
    <x:row r="11" ht="36" customHeight="1">
      <x:c r="A11" s="9" t="str">
        <x:v>T05</x:v>
      </x:c>
      <x:c r="B11" s="9" t="str">
        <x:v>Reusabilidade em outras aplicações</x:v>
      </x:c>
      <x:c r="C11" s="12" t="n">
        <x:v>1</x:v>
      </x:c>
      <x:c r="D11" s="16" t="n">
        <x:v>0</x:v>
      </x:c>
      <x:c r="E11" s="12" t="n">
        <x:f>C11*D11</x:f>
        <x:v>0</x:v>
      </x:c>
      <x:c r="F11" s="9" t="str">
        <x:v>Não é objetivo da entrega.</x:v>
      </x:c>
    </x:row>
    <x:row r="12" ht="36" customHeight="1">
      <x:c r="A12" s="11" t="str">
        <x:v>T06</x:v>
      </x:c>
      <x:c r="B12" s="11" t="str">
        <x:v>Facilidade de instalação</x:v>
      </x:c>
      <x:c r="C12" s="13" t="n">
        <x:v>0.5</x:v>
      </x:c>
      <x:c r="D12" s="16" t="n">
        <x:v>2</x:v>
      </x:c>
      <x:c r="E12" s="13" t="n">
        <x:f>C12*D12</x:f>
        <x:v>1</x:v>
      </x:c>
      <x:c r="F12" s="11" t="str">
        <x:v>Roteiro local reproduzível, sem instalador próprio.</x:v>
      </x:c>
    </x:row>
    <x:row r="13" ht="36" customHeight="1">
      <x:c r="A13" s="9" t="str">
        <x:v>T07</x:v>
      </x:c>
      <x:c r="B13" s="9" t="str">
        <x:v>Usabilidade</x:v>
      </x:c>
      <x:c r="C13" s="12" t="n">
        <x:v>0.5</x:v>
      </x:c>
      <x:c r="D13" s="16" t="n">
        <x:v>3</x:v>
      </x:c>
      <x:c r="E13" s="12" t="n">
        <x:f>C13*D13</x:f>
        <x:v>1.5</x:v>
      </x:c>
      <x:c r="F13" s="9" t="str">
        <x:v>Formulários claros e confirmação de exclusão.</x:v>
      </x:c>
    </x:row>
    <x:row r="14" ht="36" customHeight="1">
      <x:c r="A14" s="11" t="str">
        <x:v>T08</x:v>
      </x:c>
      <x:c r="B14" s="11" t="str">
        <x:v>Portabilidade</x:v>
      </x:c>
      <x:c r="C14" s="13" t="n">
        <x:v>2</x:v>
      </x:c>
      <x:c r="D14" s="16" t="n">
        <x:v>0</x:v>
      </x:c>
      <x:c r="E14" s="13" t="n">
        <x:f>C14*D14</x:f>
        <x:v>0</x:v>
      </x:c>
      <x:c r="F14" s="11" t="str">
        <x:v>Entrega validada em um ambiente Windows.</x:v>
      </x:c>
    </x:row>
    <x:row r="15" ht="36" customHeight="1">
      <x:c r="A15" s="9" t="str">
        <x:v>T09</x:v>
      </x:c>
      <x:c r="B15" s="9" t="str">
        <x:v>Facilidade de manutenção</x:v>
      </x:c>
      <x:c r="C15" s="12" t="n">
        <x:v>1</x:v>
      </x:c>
      <x:c r="D15" s="16" t="n">
        <x:v>2</x:v>
      </x:c>
      <x:c r="E15" s="12" t="n">
        <x:f>C15*D15</x:f>
        <x:v>2</x:v>
      </x:c>
      <x:c r="F15" s="9" t="str">
        <x:v>Separação simples entre telas e acesso a dados.</x:v>
      </x:c>
    </x:row>
    <x:row r="16" ht="36" customHeight="1">
      <x:c r="A16" s="11" t="str">
        <x:v>T10</x:v>
      </x:c>
      <x:c r="B16" s="11" t="str">
        <x:v>Concorrência</x:v>
      </x:c>
      <x:c r="C16" s="13" t="n">
        <x:v>1</x:v>
      </x:c>
      <x:c r="D16" s="16" t="n">
        <x:v>0</x:v>
      </x:c>
      <x:c r="E16" s="13" t="n">
        <x:f>C16*D16</x:f>
        <x:v>0</x:v>
      </x:c>
      <x:c r="F16" s="11" t="str">
        <x:v>Um operador por vez.</x:v>
      </x:c>
    </x:row>
    <x:row r="17" ht="36" customHeight="1">
      <x:c r="A17" s="9" t="str">
        <x:v>T11</x:v>
      </x:c>
      <x:c r="B17" s="9" t="str">
        <x:v>Segurança especial</x:v>
      </x:c>
      <x:c r="C17" s="12" t="n">
        <x:v>1</x:v>
      </x:c>
      <x:c r="D17" s="16" t="n">
        <x:v>1</x:v>
      </x:c>
      <x:c r="E17" s="12" t="n">
        <x:f>C17*D17</x:f>
        <x:v>1</x:v>
      </x:c>
      <x:c r="F17" s="9" t="str">
        <x:v>Validação de entrada e proteção dos arquivos locais.</x:v>
      </x:c>
    </x:row>
    <x:row r="18" ht="36" customHeight="1">
      <x:c r="A18" s="11" t="str">
        <x:v>T12</x:v>
      </x:c>
      <x:c r="B18" s="11" t="str">
        <x:v>Acesso direto para terceiros</x:v>
      </x:c>
      <x:c r="C18" s="13" t="n">
        <x:v>1</x:v>
      </x:c>
      <x:c r="D18" s="16" t="n">
        <x:v>0</x:v>
      </x:c>
      <x:c r="E18" s="13" t="n">
        <x:f>C18*D18</x:f>
        <x:v>0</x:v>
      </x:c>
      <x:c r="F18" s="11" t="str">
        <x:v>Nenhuma integração externa.</x:v>
      </x:c>
    </x:row>
    <x:row r="19" ht="36" customHeight="1">
      <x:c r="A19" s="9" t="str">
        <x:v>T13</x:v>
      </x:c>
      <x:c r="B19" s="9" t="str">
        <x:v>Treinamento especial</x:v>
      </x:c>
      <x:c r="C19" s="12" t="n">
        <x:v>1</x:v>
      </x:c>
      <x:c r="D19" s="16" t="n">
        <x:v>0</x:v>
      </x:c>
      <x:c r="E19" s="12" t="n">
        <x:f>C19*D19</x:f>
        <x:v>0</x:v>
      </x:c>
      <x:c r="F19" s="9" t="str">
        <x:v>Instruções curtas de uso.</x:v>
      </x:c>
    </x:row>
    <x:row r="20" ht="22" customHeight="1">
      <x:c r="A20" s="2"/>
      <x:c r="B20" s="2" t="str">
        <x:v>Soma técnica</x:v>
      </x:c>
      <x:c r="C20" s="18"/>
      <x:c r="D20" s="18"/>
      <x:c r="E20" s="18" t="n">
        <x:f>SUM(E7:E19)</x:f>
        <x:v>7.5</x:v>
      </x:c>
      <x:c r="F20" s="2"/>
    </x:row>
    <x:row r="21" ht="22" customHeight="1">
      <x:c r="A21" s="2"/>
      <x:c r="B21" s="2" t="str">
        <x:v>TCF</x:v>
      </x:c>
      <x:c r="C21" s="18"/>
      <x:c r="D21" s="18"/>
      <x:c r="E21" s="20" t="n">
        <x:f>0.6+0.01*E20</x:f>
        <x:v>0.6749999999999999</x:v>
      </x:c>
      <x:c r="F21" s="2"/>
    </x:row>
    <x:row r="22" ht="22" customHeight="1">
      <x:c r="A22" s="2"/>
      <x:c r="B22" s="2"/>
      <x:c r="C22" s="18"/>
      <x:c r="D22" s="18"/>
      <x:c r="E22" s="18"/>
      <x:c r="F22" s="2"/>
    </x:row>
    <x:row r="23" ht="22" customHeight="1">
      <x:c r="A23" s="2"/>
      <x:c r="B23" s="2"/>
      <x:c r="C23" s="18"/>
      <x:c r="D23" s="18"/>
      <x:c r="E23" s="18"/>
      <x:c r="F23" s="2"/>
    </x:row>
    <x:row r="24" ht="32" customHeight="1">
      <x:c r="A24" s="7" t="str">
        <x:v>ID</x:v>
      </x:c>
      <x:c r="B24" s="7" t="str">
        <x:v>Fator ambiental</x:v>
      </x:c>
      <x:c r="C24" s="19" t="str">
        <x:v>Peso</x:v>
      </x:c>
      <x:c r="D24" s="19" t="str">
        <x:v>Influência</x:v>
      </x:c>
      <x:c r="E24" s="19" t="str">
        <x:v>Produto</x:v>
      </x:c>
      <x:c r="F24" s="7" t="str">
        <x:v>Premissa</x:v>
      </x:c>
    </x:row>
    <x:row r="25" ht="40" customHeight="1">
      <x:c r="A25" s="9" t="str">
        <x:v>F01</x:v>
      </x:c>
      <x:c r="B25" s="9" t="str">
        <x:v>Familiaridade com processo</x:v>
      </x:c>
      <x:c r="C25" s="12" t="n">
        <x:v>1.5</x:v>
      </x:c>
      <x:c r="D25" s="16" t="n">
        <x:v>3</x:v>
      </x:c>
      <x:c r="E25" s="12" t="n">
        <x:f>C25*D25</x:f>
        <x:v>4.5</x:v>
      </x:c>
      <x:c r="F25" s="9" t="str">
        <x:v>Hipótese intermediária, sem avaliação formal da equipe.</x:v>
      </x:c>
    </x:row>
    <x:row r="26" ht="40" customHeight="1">
      <x:c r="A26" s="11" t="str">
        <x:v>F02</x:v>
      </x:c>
      <x:c r="B26" s="11" t="str">
        <x:v>Experiência no domínio</x:v>
      </x:c>
      <x:c r="C26" s="13" t="n">
        <x:v>0.5</x:v>
      </x:c>
      <x:c r="D26" s="16" t="n">
        <x:v>3</x:v>
      </x:c>
      <x:c r="E26" s="13" t="n">
        <x:f>C26*D26</x:f>
        <x:v>1.5</x:v>
      </x:c>
      <x:c r="F26" s="11" t="str">
        <x:v>Empréstimos de objetos têm regras familiares; nota provisória.</x:v>
      </x:c>
    </x:row>
    <x:row r="27" ht="40" customHeight="1">
      <x:c r="A27" s="9" t="str">
        <x:v>F03</x:v>
      </x:c>
      <x:c r="B27" s="9" t="str">
        <x:v>Experiência em orientação a objetos</x:v>
      </x:c>
      <x:c r="C27" s="12" t="n">
        <x:v>1</x:v>
      </x:c>
      <x:c r="D27" s="16" t="n">
        <x:v>3</x:v>
      </x:c>
      <x:c r="E27" s="12" t="n">
        <x:f>C27*D27</x:f>
        <x:v>3</x:v>
      </x:c>
      <x:c r="F27" s="9" t="str">
        <x:v>Hipótese intermediária a revisar após a primeira release.</x:v>
      </x:c>
    </x:row>
    <x:row r="28" ht="40" customHeight="1">
      <x:c r="A28" s="11" t="str">
        <x:v>F04</x:v>
      </x:c>
      <x:c r="B28" s="11" t="str">
        <x:v>Capacidade de liderança</x:v>
      </x:c>
      <x:c r="C28" s="13" t="n">
        <x:v>0.5</x:v>
      </x:c>
      <x:c r="D28" s="16" t="n">
        <x:v>3</x:v>
      </x:c>
      <x:c r="E28" s="13" t="n">
        <x:f>C28*D28</x:f>
        <x:v>1.5</x:v>
      </x:c>
      <x:c r="F28" s="11" t="str">
        <x:v>Hipótese neutra, sem atribuir experiência comprovada.</x:v>
      </x:c>
    </x:row>
    <x:row r="29" ht="40" customHeight="1">
      <x:c r="A29" s="9" t="str">
        <x:v>F05</x:v>
      </x:c>
      <x:c r="B29" s="9" t="str">
        <x:v>Motivação</x:v>
      </x:c>
      <x:c r="C29" s="12" t="n">
        <x:v>1</x:v>
      </x:c>
      <x:c r="D29" s="16" t="n">
        <x:v>3</x:v>
      </x:c>
      <x:c r="E29" s="12" t="n">
        <x:f>C29*D29</x:f>
        <x:v>3</x:v>
      </x:c>
      <x:c r="F29" s="9" t="str">
        <x:v>Hipótese intermediária para o planejamento.</x:v>
      </x:c>
    </x:row>
    <x:row r="30" ht="40" customHeight="1">
      <x:c r="A30" s="11" t="str">
        <x:v>F06</x:v>
      </x:c>
      <x:c r="B30" s="11" t="str">
        <x:v>Estabilidade dos requisitos</x:v>
      </x:c>
      <x:c r="C30" s="13" t="n">
        <x:v>2</x:v>
      </x:c>
      <x:c r="D30" s="16" t="n">
        <x:v>4</x:v>
      </x:c>
      <x:c r="E30" s="13" t="n">
        <x:f>C30*D30</x:f>
        <x:v>8</x:v>
      </x:c>
      <x:c r="F30" s="11" t="str">
        <x:v>Escopo pequeno fixado na Release 0.</x:v>
      </x:c>
    </x:row>
    <x:row r="31" ht="40" customHeight="1">
      <x:c r="A31" s="9" t="str">
        <x:v>F07</x:v>
      </x:c>
      <x:c r="B31" s="9" t="str">
        <x:v>Dedicação parcial</x:v>
      </x:c>
      <x:c r="C31" s="12" t="n">
        <x:v>-1</x:v>
      </x:c>
      <x:c r="D31" s="16" t="n">
        <x:v>5</x:v>
      </x:c>
      <x:c r="E31" s="12" t="n">
        <x:f>C31*D31</x:f>
        <x:v>-5</x:v>
      </x:c>
      <x:c r="F31" s="9" t="str">
        <x:v>Projeto conciliado com estágio e TCC.</x:v>
      </x:c>
    </x:row>
    <x:row r="32" ht="40" customHeight="1">
      <x:c r="A32" s="11" t="str">
        <x:v>F08</x:v>
      </x:c>
      <x:c r="B32" s="11" t="str">
        <x:v>Dificuldade da linguagem</x:v>
      </x:c>
      <x:c r="C32" s="13" t="n">
        <x:v>-1</x:v>
      </x:c>
      <x:c r="D32" s="16" t="n">
        <x:v>1</x:v>
      </x:c>
      <x:c r="E32" s="13" t="n">
        <x:f>C32*D32</x:f>
        <x:v>-1</x:v>
      </x:c>
      <x:c r="F32" s="11" t="str">
        <x:v>PHP já utilizado no trabalho; arquitetura simples proposta.</x:v>
      </x:c>
    </x:row>
    <x:row r="33" ht="22" customHeight="1">
      <x:c r="A33" s="2"/>
      <x:c r="B33" s="2" t="str">
        <x:v>Soma ambiental</x:v>
      </x:c>
      <x:c r="C33" s="18"/>
      <x:c r="D33" s="18"/>
      <x:c r="E33" s="18" t="n">
        <x:f>SUM(E25:E32)</x:f>
        <x:v>15.5</x:v>
      </x:c>
      <x:c r="F33" s="2"/>
    </x:row>
    <x:row r="34" ht="22" customHeight="1">
      <x:c r="A34" s="2"/>
      <x:c r="B34" s="2" t="str">
        <x:v>ECF</x:v>
      </x:c>
      <x:c r="C34" s="18"/>
      <x:c r="D34" s="18"/>
      <x:c r="E34" s="20" t="n">
        <x:f>1.4-0.03*E33</x:f>
        <x:v>0.9349999999999999</x:v>
      </x:c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2" customHeight="1">
      <x:c r="A36" s="4" t="str">
        <x:v>Escala de influência de 0 a 5. F07 representa dedicação parcial. Notas ambientais são premissas e devem ser revisitadas com resultados da primeira release.</x:v>
      </x:c>
      <x:c r="B36" s="4"/>
      <x:c r="C36" s="4"/>
      <x:c r="D36" s="4"/>
      <x:c r="E36" s="4"/>
      <x:c r="F36" s="4"/>
    </x:row>
    <x:row r="37" ht="22" customHeight="1">
      <x:c r="A37" s="2"/>
      <x:c r="B37" s="2"/>
      <x:c r="C37" s="2"/>
      <x:c r="D37" s="2"/>
      <x:c r="E37" s="2"/>
      <x:c r="F37" s="2"/>
    </x:row>
    <x:row r="38" ht="32" customHeight="1">
      <x:c r="A38" s="4" t="str">
        <x:v>Fonte: modelo PCU da disciplina. Equipe em dupla; fatores mantidos provisoriamente até revisar a execução conjunta.</x:v>
      </x:c>
      <x:c r="B38" s="4"/>
      <x:c r="C38" s="4"/>
      <x:c r="D38" s="4"/>
      <x:c r="E38" s="4"/>
      <x:c r="F38" s="4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22" customHeight="1">
      <x:c r="A41" s="2"/>
      <x:c r="B41" s="2"/>
      <x:c r="C41" s="2"/>
      <x:c r="D41" s="2"/>
      <x:c r="E41" s="2"/>
      <x:c r="F41" s="2"/>
    </x:row>
    <x:row r="42" ht="22" customHeight="1">
      <x:c r="A42" s="2"/>
      <x:c r="B42" s="2"/>
      <x:c r="C42" s="2"/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</x:sheetData>
  <x:mergeCells>
    <x:mergeCell ref="A36:F36"/>
    <x:mergeCell ref="A38:F38"/>
  </x:mergeCells>
  <x:dataValidations count="2">
    <x:dataValidation type="whole" operator="between" sqref="D7:D19">
      <x:formula1>0</x:formula1>
      <x:formula2>5</x:formula2>
    </x:dataValidation>
    <x:dataValidation type="whole" operator="between" sqref="D25:D32">
      <x:formula1>0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47" hidden="0" customWidth="1"/>
    <x:col min="4" max="4" width="16" hidden="0" customWidth="1"/>
    <x:col min="5" max="5" width="57" hidden="0" customWidth="1"/>
  </x:cols>
  <x:sheetData>
    <x:row r="1" ht="22" customHeight="1">
      <x:c r="A1" s="2"/>
      <x:c r="B1" s="2"/>
      <x:c r="C1" s="2"/>
      <x:c r="D1" s="2"/>
      <x:c r="E1" s="2"/>
    </x:row>
    <x:row r="2" ht="30" customHeight="1">
      <x:c r="A2" s="3" t="str">
        <x:v>Estimativa por atividade</x:v>
      </x:c>
      <x:c r="B2" s="2"/>
      <x:c r="C2" s="2"/>
      <x:c r="D2" s="2"/>
      <x:c r="E2" s="2"/>
    </x:row>
    <x:row r="3" ht="22" customHeight="1">
      <x:c r="A3" s="2"/>
      <x:c r="B3" s="2"/>
      <x:c r="C3" s="2"/>
      <x:c r="D3" s="2"/>
      <x:c r="E3" s="2"/>
    </x:row>
    <x:row r="4" ht="22" customHeight="1">
      <x:c r="A4" s="2"/>
      <x:c r="B4" s="2"/>
      <x:c r="C4" s="2"/>
      <x:c r="D4" s="2"/>
      <x:c r="E4" s="2"/>
    </x:row>
    <x:row r="5" ht="22" customHeight="1">
      <x:c r="A5" s="2"/>
      <x:c r="B5" s="2"/>
      <x:c r="C5" s="2"/>
      <x:c r="D5" s="2"/>
      <x:c r="E5" s="2"/>
    </x:row>
    <x:row r="6" ht="32" customHeight="1">
      <x:c r="A6" s="7" t="str">
        <x:v>Atividade</x:v>
      </x:c>
      <x:c r="B6" s="7" t="str">
        <x:v>Tipo</x:v>
      </x:c>
      <x:c r="C6" s="7" t="str">
        <x:v>Pacote de trabalho</x:v>
      </x:c>
      <x:c r="D6" s="7" t="str">
        <x:v>Horas</x:v>
      </x:c>
      <x:c r="E6" s="7" t="str">
        <x:v>Entrega</x:v>
      </x:c>
    </x:row>
    <x:row r="7" ht="36" customHeight="1">
      <x:c r="A7" s="9" t="str">
        <x:v>A01</x:v>
      </x:c>
      <x:c r="B7" s="9" t="str">
        <x:v>Base</x:v>
      </x:c>
      <x:c r="C7" s="9" t="str">
        <x:v>Definir escopo e regras</x:v>
      </x:c>
      <x:c r="D7" s="17" t="n">
        <x:v>1</x:v>
      </x:c>
      <x:c r="E7" s="9" t="str">
        <x:v>DRE seções 1 e 2</x:v>
      </x:c>
    </x:row>
    <x:row r="8" ht="36" customHeight="1">
      <x:c r="A8" s="11" t="str">
        <x:v>A02</x:v>
      </x:c>
      <x:c r="B8" s="11" t="str">
        <x:v>Base</x:v>
      </x:c>
      <x:c r="C8" s="11" t="str">
        <x:v>Especificar requisitos e critérios</x:v>
      </x:c>
      <x:c r="D8" s="17" t="n">
        <x:v>3</x:v>
      </x:c>
      <x:c r="E8" s="11" t="str">
        <x:v>DRE completo</x:v>
      </x:c>
    </x:row>
    <x:row r="9" ht="36" customHeight="1">
      <x:c r="A9" s="9" t="str">
        <x:v>A03</x:v>
      </x:c>
      <x:c r="B9" s="9" t="str">
        <x:v>Base</x:v>
      </x:c>
      <x:c r="C9" s="9" t="str">
        <x:v>Estimar tamanho e rastrear requisitos</x:v>
      </x:c>
      <x:c r="D9" s="17" t="n">
        <x:v>2</x:v>
      </x:c>
      <x:c r="E9" s="9" t="str">
        <x:v>EST e MRB</x:v>
      </x:c>
    </x:row>
    <x:row r="10" ht="36" customHeight="1">
      <x:c r="A10" s="11" t="str">
        <x:v>A04</x:v>
      </x:c>
      <x:c r="B10" s="11" t="str">
        <x:v>Base</x:v>
      </x:c>
      <x:c r="C10" s="11" t="str">
        <x:v>Planejar e versionar a análise</x:v>
      </x:c>
      <x:c r="D10" s="17" t="n">
        <x:v>2</x:v>
      </x:c>
      <x:c r="E10" s="11" t="str">
        <x:v>CRO e branch analise/release-0</x:v>
      </x:c>
    </x:row>
    <x:row r="11" ht="36" customHeight="1">
      <x:c r="A11" s="9" t="str">
        <x:v>B00</x:v>
      </x:c>
      <x:c r="B11" s="9" t="str">
        <x:v>Reserva</x:v>
      </x:c>
      <x:c r="C11" s="9" t="str">
        <x:v>Reserva para revisão cruzada</x:v>
      </x:c>
      <x:c r="D11" s="17" t="n">
        <x:v>2</x:v>
      </x:c>
      <x:c r="E11" s="9" t="str">
        <x:v>Correções se necessárias</x:v>
      </x:c>
    </x:row>
    <x:row r="12" ht="36" customHeight="1">
      <x:c r="A12" s="11" t="str">
        <x:v>A05</x:v>
      </x:c>
      <x:c r="B12" s="11" t="str">
        <x:v>Base</x:v>
      </x:c>
      <x:c r="C12" s="11" t="str">
        <x:v>Preparar base local e estrutura comum</x:v>
      </x:c>
      <x:c r="D12" s="17" t="n">
        <x:v>4</x:v>
      </x:c>
      <x:c r="E12" s="11" t="str">
        <x:v>PHP e SQLite com dados de exemplo</x:v>
      </x:c>
    </x:row>
    <x:row r="13" ht="36" customHeight="1">
      <x:c r="A13" s="9" t="str">
        <x:v>A06</x:v>
      </x:c>
      <x:c r="B13" s="9" t="str">
        <x:v>Base</x:v>
      </x:c>
      <x:c r="C13" s="9" t="str">
        <x:v>Implementar CRUD de pessoas</x:v>
      </x:c>
      <x:c r="D13" s="17" t="n">
        <x:v>3</x:v>
      </x:c>
      <x:c r="E13" s="9" t="str">
        <x:v>RFC01 e UC01</x:v>
      </x:c>
    </x:row>
    <x:row r="14" ht="36" customHeight="1">
      <x:c r="A14" s="11" t="str">
        <x:v>A07</x:v>
      </x:c>
      <x:c r="B14" s="11" t="str">
        <x:v>Base</x:v>
      </x:c>
      <x:c r="C14" s="11" t="str">
        <x:v>Implementar CRUD de categorias</x:v>
      </x:c>
      <x:c r="D14" s="17" t="n">
        <x:v>2</x:v>
      </x:c>
      <x:c r="E14" s="11" t="str">
        <x:v>RFC02 e UC02</x:v>
      </x:c>
    </x:row>
    <x:row r="15" ht="36" customHeight="1">
      <x:c r="A15" s="9" t="str">
        <x:v>A08</x:v>
      </x:c>
      <x:c r="B15" s="9" t="str">
        <x:v>Base</x:v>
      </x:c>
      <x:c r="C15" s="9" t="str">
        <x:v>Automatizar testes dos dois CRUDs</x:v>
      </x:c>
      <x:c r="D15" s="17" t="n">
        <x:v>3</x:v>
      </x:c>
      <x:c r="E15" s="9" t="str">
        <x:v>CT01 e CT02 e base Selenium</x:v>
      </x:c>
    </x:row>
    <x:row r="16" ht="36" customHeight="1">
      <x:c r="A16" s="11" t="str">
        <x:v>A09</x:v>
      </x:c>
      <x:c r="B16" s="11" t="str">
        <x:v>Base</x:v>
      </x:c>
      <x:c r="C16" s="11" t="str">
        <x:v>Revisar documentos e apresentar R1</x:v>
      </x:c>
      <x:c r="D16" s="17" t="n">
        <x:v>3</x:v>
      </x:c>
      <x:c r="E16" s="11" t="str">
        <x:v>Cronograma atualizado e tag release-1</x:v>
      </x:c>
    </x:row>
    <x:row r="17" ht="36" customHeight="1">
      <x:c r="A17" s="9" t="str">
        <x:v>B01</x:v>
      </x:c>
      <x:c r="B17" s="9" t="str">
        <x:v>Reserva</x:v>
      </x:c>
      <x:c r="C17" s="9" t="str">
        <x:v>Reserva de correção R1</x:v>
      </x:c>
      <x:c r="D17" s="17" t="n">
        <x:v>2</x:v>
      </x:c>
      <x:c r="E17" s="9" t="str">
        <x:v>Correções se necessárias</x:v>
      </x:c>
    </x:row>
    <x:row r="18" ht="36" customHeight="1">
      <x:c r="A18" s="11" t="str">
        <x:v>A10</x:v>
      </x:c>
      <x:c r="B18" s="11" t="str">
        <x:v>Base</x:v>
      </x:c>
      <x:c r="C18" s="11" t="str">
        <x:v>Implementar CRUD de objetos</x:v>
      </x:c>
      <x:c r="D18" s="17" t="n">
        <x:v>4</x:v>
      </x:c>
      <x:c r="E18" s="11" t="str">
        <x:v>RFC03 e UC03</x:v>
      </x:c>
    </x:row>
    <x:row r="19" ht="36" customHeight="1">
      <x:c r="A19" s="9" t="str">
        <x:v>A11</x:v>
      </x:c>
      <x:c r="B19" s="9" t="str">
        <x:v>Base</x:v>
      </x:c>
      <x:c r="C19" s="9" t="str">
        <x:v>Implementar empréstimos e devolução</x:v>
      </x:c>
      <x:c r="D19" s="17" t="n">
        <x:v>6</x:v>
      </x:c>
      <x:c r="E19" s="9" t="str">
        <x:v>RFC04 e UC04</x:v>
      </x:c>
    </x:row>
    <x:row r="20" ht="36" customHeight="1">
      <x:c r="A20" s="11" t="str">
        <x:v>A12</x:v>
      </x:c>
      <x:c r="B20" s="11" t="str">
        <x:v>Base</x:v>
      </x:c>
      <x:c r="C20" s="11" t="str">
        <x:v>Testar integridade e fluxos completos</x:v>
      </x:c>
      <x:c r="D20" s="17" t="n">
        <x:v>3</x:v>
      </x:c>
      <x:c r="E20" s="11" t="str">
        <x:v>CT03 a CT06 e CT10 e CT13</x:v>
      </x:c>
    </x:row>
    <x:row r="21" ht="36" customHeight="1">
      <x:c r="A21" s="9" t="str">
        <x:v>A13</x:v>
      </x:c>
      <x:c r="B21" s="9" t="str">
        <x:v>Base</x:v>
      </x:c>
      <x:c r="C21" s="9" t="str">
        <x:v>Revisar documentos e apresentar R2</x:v>
      </x:c>
      <x:c r="D21" s="17" t="n">
        <x:v>3</x:v>
      </x:c>
      <x:c r="E21" s="9" t="str">
        <x:v>Cronograma atualizado e tag release-2</x:v>
      </x:c>
    </x:row>
    <x:row r="22" ht="36" customHeight="1">
      <x:c r="A22" s="11" t="str">
        <x:v>B02</x:v>
      </x:c>
      <x:c r="B22" s="11" t="str">
        <x:v>Reserva</x:v>
      </x:c>
      <x:c r="C22" s="11" t="str">
        <x:v>Reserva de correção R2</x:v>
      </x:c>
      <x:c r="D22" s="17" t="n">
        <x:v>2</x:v>
      </x:c>
      <x:c r="E22" s="11" t="str">
        <x:v>Correções se necessárias</x:v>
      </x:c>
    </x:row>
    <x:row r="23" ht="36" customHeight="1">
      <x:c r="A23" s="9" t="str">
        <x:v>A14</x:v>
      </x:c>
      <x:c r="B23" s="9" t="str">
        <x:v>Base</x:v>
      </x:c>
      <x:c r="C23" s="9" t="str">
        <x:v>Implementar relatório de pendências</x:v>
      </x:c>
      <x:c r="D23" s="17" t="n">
        <x:v>5</x:v>
      </x:c>
      <x:c r="E23" s="9" t="str">
        <x:v>RFC05 e UC05</x:v>
      </x:c>
    </x:row>
    <x:row r="24" ht="36" customHeight="1">
      <x:c r="A24" s="11" t="str">
        <x:v>A15</x:v>
      </x:c>
      <x:c r="B24" s="11" t="str">
        <x:v>Base</x:v>
      </x:c>
      <x:c r="C24" s="11" t="str">
        <x:v>Testar filtros e atraso</x:v>
      </x:c>
      <x:c r="D24" s="17" t="n">
        <x:v>5</x:v>
      </x:c>
      <x:c r="E24" s="11" t="str">
        <x:v>CT07 e CT09 e CT12</x:v>
      </x:c>
    </x:row>
    <x:row r="25" ht="36" customHeight="1">
      <x:c r="A25" s="9" t="str">
        <x:v>A16</x:v>
      </x:c>
      <x:c r="B25" s="9" t="str">
        <x:v>Base</x:v>
      </x:c>
      <x:c r="C25" s="9" t="str">
        <x:v>Revisar documentos e apresentar R3</x:v>
      </x:c>
      <x:c r="D25" s="17" t="n">
        <x:v>3</x:v>
      </x:c>
      <x:c r="E25" s="9" t="str">
        <x:v>Cronograma atualizado e tag release-3</x:v>
      </x:c>
    </x:row>
    <x:row r="26" ht="36" customHeight="1">
      <x:c r="A26" s="11" t="str">
        <x:v>B03</x:v>
      </x:c>
      <x:c r="B26" s="11" t="str">
        <x:v>Reserva</x:v>
      </x:c>
      <x:c r="C26" s="11" t="str">
        <x:v>Reserva de correção R3</x:v>
      </x:c>
      <x:c r="D26" s="17" t="n">
        <x:v>2</x:v>
      </x:c>
      <x:c r="E26" s="11" t="str">
        <x:v>Correções se necessárias</x:v>
      </x:c>
    </x:row>
    <x:row r="27" ht="36" customHeight="1">
      <x:c r="A27" s="9" t="str">
        <x:v>A17</x:v>
      </x:c>
      <x:c r="B27" s="9" t="str">
        <x:v>Base</x:v>
      </x:c>
      <x:c r="C27" s="9" t="str">
        <x:v>Implementar histórico de empréstimos</x:v>
      </x:c>
      <x:c r="D27" s="17" t="n">
        <x:v>4</x:v>
      </x:c>
      <x:c r="E27" s="9" t="str">
        <x:v>RFC06 e UC06</x:v>
      </x:c>
    </x:row>
    <x:row r="28" ht="36" customHeight="1">
      <x:c r="A28" s="11" t="str">
        <x:v>A18</x:v>
      </x:c>
      <x:c r="B28" s="11" t="str">
        <x:v>Base</x:v>
      </x:c>
      <x:c r="C28" s="11" t="str">
        <x:v>Executar regressão e verificar instalação</x:v>
      </x:c>
      <x:c r="D28" s="17" t="n">
        <x:v>6</x:v>
      </x:c>
      <x:c r="E28" s="11" t="str">
        <x:v>CT01 a CT14</x:v>
      </x:c>
    </x:row>
    <x:row r="29" ht="36" customHeight="1">
      <x:c r="A29" s="9" t="str">
        <x:v>A19</x:v>
      </x:c>
      <x:c r="B29" s="9" t="str">
        <x:v>Base</x:v>
      </x:c>
      <x:c r="C29" s="9" t="str">
        <x:v>Consolidar manual e documentação</x:v>
      </x:c>
      <x:c r="D29" s="17" t="n">
        <x:v>3</x:v>
      </x:c>
      <x:c r="E29" s="9" t="str">
        <x:v>Instruções de execução e documentação final</x:v>
      </x:c>
    </x:row>
    <x:row r="30" ht="36" customHeight="1">
      <x:c r="A30" s="11" t="str">
        <x:v>A20</x:v>
      </x:c>
      <x:c r="B30" s="11" t="str">
        <x:v>Base</x:v>
      </x:c>
      <x:c r="C30" s="11" t="str">
        <x:v>Versionar e apresentar entrega final</x:v>
      </x:c>
      <x:c r="D30" s="17" t="n">
        <x:v>2</x:v>
      </x:c>
      <x:c r="E30" s="11" t="str">
        <x:v>Tag release-4 e demonstração</x:v>
      </x:c>
    </x:row>
    <x:row r="31" ht="36" customHeight="1">
      <x:c r="A31" s="9" t="str">
        <x:v>B04</x:v>
      </x:c>
      <x:c r="B31" s="9" t="str">
        <x:v>Reserva</x:v>
      </x:c>
      <x:c r="C31" s="9" t="str">
        <x:v>Reserva final de correção</x:v>
      </x:c>
      <x:c r="D31" s="17" t="n">
        <x:v>1</x:v>
      </x:c>
      <x:c r="E31" s="9" t="str">
        <x:v>Correções se necessárias</x:v>
      </x:c>
    </x:row>
    <x:row r="32" ht="22" customHeight="1">
      <x:c r="A32" s="2"/>
      <x:c r="B32" s="2"/>
      <x:c r="C32" s="2"/>
      <x:c r="D32" s="2"/>
      <x:c r="E32" s="2"/>
    </x:row>
    <x:row r="33" ht="22" customHeight="1">
      <x:c r="A33" s="2"/>
      <x:c r="B33" s="2"/>
      <x:c r="C33" s="2"/>
      <x:c r="D33" s="2"/>
      <x:c r="E33" s="2"/>
    </x:row>
    <x:row r="34" ht="32" customHeight="1">
      <x:c r="A34" s="4" t="str">
        <x:v>As mesmas atividades e horas compõem a linha de base do CRO. A reserva só gera horas reais quando utilizada.</x:v>
      </x:c>
      <x:c r="B34" s="4"/>
      <x:c r="C34" s="4"/>
      <x:c r="D34" s="4"/>
      <x:c r="E34" s="4"/>
    </x:row>
    <x:row r="35" ht="22" customHeight="1">
      <x:c r="A35" s="2"/>
      <x:c r="B35" s="2"/>
      <x:c r="C35" s="2"/>
      <x:c r="D35" s="2"/>
      <x:c r="E35" s="2"/>
    </x:row>
    <x:row r="36" ht="22" customHeight="1">
      <x:c r="A36" s="2"/>
      <x:c r="B36" s="2"/>
      <x:c r="C36" s="2"/>
      <x:c r="D36" s="2"/>
      <x:c r="E36" s="2"/>
    </x:row>
    <x:row r="37" ht="22" customHeight="1">
      <x:c r="A37" s="2"/>
      <x:c r="B37" s="2"/>
      <x:c r="C37" s="2"/>
      <x:c r="D37" s="2"/>
      <x:c r="E37" s="2"/>
    </x:row>
    <x:row r="38" ht="22" customHeight="1">
      <x:c r="A38" s="2"/>
      <x:c r="B38" s="2"/>
      <x:c r="C38" s="2"/>
      <x:c r="D38" s="2"/>
      <x:c r="E38" s="2"/>
    </x:row>
    <x:row r="39" ht="22" customHeight="1">
      <x:c r="A39" s="2"/>
      <x:c r="B39" s="2"/>
      <x:c r="C39" s="2"/>
      <x:c r="D39" s="2"/>
      <x:c r="E39" s="2"/>
    </x:row>
    <x:row r="40" ht="22" customHeight="1">
      <x:c r="A40" s="2"/>
      <x:c r="B40" s="2"/>
      <x:c r="C40" s="2"/>
      <x:c r="D40" s="2"/>
      <x:c r="E40" s="2"/>
    </x:row>
    <x:row r="41" ht="22" customHeight="1">
      <x:c r="A41" s="2"/>
      <x:c r="B41" s="2"/>
      <x:c r="C41" s="2"/>
      <x:c r="D41" s="2"/>
      <x:c r="E41" s="2"/>
    </x:row>
    <x:row r="42" ht="22" customHeight="1">
      <x:c r="A42" s="2"/>
      <x:c r="B42" s="2"/>
      <x:c r="C42" s="2"/>
      <x:c r="D42" s="2"/>
      <x:c r="E42" s="2"/>
    </x:row>
    <x:row r="43" ht="22" customHeight="1">
      <x:c r="A43" s="2"/>
      <x:c r="B43" s="2"/>
      <x:c r="C43" s="2"/>
      <x:c r="D43" s="2"/>
      <x:c r="E43" s="2"/>
    </x:row>
    <x:row r="44" ht="22" customHeight="1">
      <x:c r="A44" s="2"/>
      <x:c r="B44" s="2"/>
      <x:c r="C44" s="2"/>
      <x:c r="D44" s="2"/>
      <x:c r="E44" s="2"/>
    </x:row>
    <x:row r="45" ht="22" customHeight="1">
      <x:c r="A45" s="2"/>
      <x:c r="B45" s="2"/>
      <x:c r="C45" s="2"/>
      <x:c r="D45" s="2"/>
      <x:c r="E45" s="2"/>
    </x:row>
    <x:row r="46" ht="22" customHeight="1">
      <x:c r="A46" s="2"/>
      <x:c r="B46" s="2"/>
      <x:c r="C46" s="2"/>
      <x:c r="D46" s="2"/>
      <x:c r="E46" s="2"/>
    </x:row>
    <x:row r="47" ht="22" customHeight="1">
      <x:c r="A47" s="2"/>
      <x:c r="B47" s="2"/>
      <x:c r="C47" s="2"/>
      <x:c r="D47" s="2"/>
      <x:c r="E47" s="2"/>
    </x:row>
    <x:row r="48" ht="22" customHeight="1">
      <x:c r="A48" s="2"/>
      <x:c r="B48" s="2"/>
      <x:c r="C48" s="2"/>
      <x:c r="D48" s="2"/>
      <x:c r="E48" s="2"/>
    </x:row>
    <x:row r="49" ht="22" customHeight="1">
      <x:c r="A49" s="2"/>
      <x:c r="B49" s="2"/>
      <x:c r="C49" s="2"/>
      <x:c r="D49" s="2"/>
      <x:c r="E49" s="2"/>
    </x:row>
    <x:row r="50" ht="22" customHeight="1">
      <x:c r="A50" s="2"/>
      <x:c r="B50" s="2"/>
      <x:c r="C50" s="2"/>
      <x:c r="D50" s="2"/>
      <x:c r="E50" s="2"/>
    </x:row>
    <x:row r="51" ht="22" customHeight="1">
      <x:c r="A51" s="2"/>
      <x:c r="B51" s="2"/>
      <x:c r="C51" s="2"/>
      <x:c r="D51" s="2"/>
      <x:c r="E51" s="2"/>
    </x:row>
    <x:row r="52" ht="22" customHeight="1">
      <x:c r="A52" s="2"/>
      <x:c r="B52" s="2"/>
      <x:c r="C52" s="2"/>
      <x:c r="D52" s="2"/>
      <x:c r="E52" s="2"/>
    </x:row>
    <x:row r="53" ht="22" customHeight="1">
      <x:c r="A53" s="2"/>
      <x:c r="B53" s="2"/>
      <x:c r="C53" s="2"/>
      <x:c r="D53" s="2"/>
      <x:c r="E53" s="2"/>
    </x:row>
    <x:row r="54" ht="22" customHeight="1">
      <x:c r="A54" s="2"/>
      <x:c r="B54" s="2"/>
      <x:c r="C54" s="2"/>
      <x:c r="D54" s="2"/>
      <x:c r="E54" s="2"/>
    </x:row>
    <x:row r="55" ht="22" customHeight="1">
      <x:c r="A55" s="2"/>
      <x:c r="B55" s="2"/>
      <x:c r="C55" s="2"/>
      <x:c r="D55" s="2"/>
      <x:c r="E55" s="2"/>
    </x:row>
    <x:row r="56" ht="22" customHeight="1">
      <x:c r="A56" s="2"/>
      <x:c r="B56" s="2"/>
      <x:c r="C56" s="2"/>
      <x:c r="D56" s="2"/>
      <x:c r="E56" s="2"/>
    </x:row>
    <x:row r="57" ht="22" customHeight="1">
      <x:c r="A57" s="2"/>
      <x:c r="B57" s="2"/>
      <x:c r="C57" s="2"/>
      <x:c r="D57" s="2"/>
      <x:c r="E57" s="2"/>
    </x:row>
    <x:row r="58" ht="22" customHeight="1">
      <x:c r="A58" s="2"/>
      <x:c r="B58" s="2"/>
      <x:c r="C58" s="2"/>
      <x:c r="D58" s="2"/>
      <x:c r="E58" s="2"/>
    </x:row>
    <x:row r="59" ht="22" customHeight="1">
      <x:c r="A59" s="2"/>
      <x:c r="B59" s="2"/>
      <x:c r="C59" s="2"/>
      <x:c r="D59" s="2"/>
      <x:c r="E59" s="2"/>
    </x:row>
    <x:row r="60" ht="22" customHeight="1">
      <x:c r="A60" s="2"/>
      <x:c r="B60" s="2"/>
      <x:c r="C60" s="2"/>
      <x:c r="D60" s="2"/>
      <x:c r="E60" s="2"/>
    </x:row>
    <x:row r="61" ht="22" customHeight="1">
      <x:c r="A61" s="2"/>
      <x:c r="B61" s="2"/>
      <x:c r="C61" s="2"/>
      <x:c r="D61" s="2"/>
      <x:c r="E61" s="2"/>
    </x:row>
    <x:row r="62" ht="22" customHeight="1">
      <x:c r="A62" s="2"/>
      <x:c r="B62" s="2"/>
      <x:c r="C62" s="2"/>
      <x:c r="D62" s="2"/>
      <x:c r="E62" s="2"/>
    </x:row>
    <x:row r="63" ht="22" customHeight="1">
      <x:c r="A63" s="2"/>
      <x:c r="B63" s="2"/>
      <x:c r="C63" s="2"/>
      <x:c r="D63" s="2"/>
      <x:c r="E63" s="2"/>
    </x:row>
    <x:row r="64" ht="22" customHeight="1">
      <x:c r="A64" s="2"/>
      <x:c r="B64" s="2"/>
      <x:c r="C64" s="2"/>
      <x:c r="D64" s="2"/>
      <x:c r="E64" s="2"/>
    </x:row>
    <x:row r="65" ht="22" customHeight="1">
      <x:c r="A65" s="2"/>
      <x:c r="B65" s="2"/>
      <x:c r="C65" s="2"/>
      <x:c r="D65" s="2"/>
      <x:c r="E65" s="2"/>
    </x:row>
    <x:row r="66" ht="22" customHeight="1">
      <x:c r="A66" s="2"/>
      <x:c r="B66" s="2"/>
      <x:c r="C66" s="2"/>
      <x:c r="D66" s="2"/>
      <x:c r="E66" s="2"/>
    </x:row>
    <x:row r="67" ht="22" customHeight="1">
      <x:c r="A67" s="2"/>
      <x:c r="B67" s="2"/>
      <x:c r="C67" s="2"/>
      <x:c r="D67" s="2"/>
      <x:c r="E67" s="2"/>
    </x:row>
    <x:row r="68" ht="22" customHeight="1">
      <x:c r="A68" s="2"/>
      <x:c r="B68" s="2"/>
      <x:c r="C68" s="2"/>
      <x:c r="D68" s="2"/>
      <x:c r="E68" s="2"/>
    </x:row>
    <x:row r="69" ht="22" customHeight="1">
      <x:c r="A69" s="2"/>
      <x:c r="B69" s="2"/>
      <x:c r="C69" s="2"/>
      <x:c r="D69" s="2"/>
      <x:c r="E69" s="2"/>
    </x:row>
    <x:row r="70" ht="22" customHeight="1">
      <x:c r="A70" s="2"/>
      <x:c r="B70" s="2"/>
      <x:c r="C70" s="2"/>
      <x:c r="D70" s="2"/>
      <x:c r="E70" s="2"/>
    </x:row>
    <x:row r="71" ht="22" customHeight="1">
      <x:c r="A71" s="2"/>
      <x:c r="B71" s="2"/>
      <x:c r="C71" s="2"/>
      <x:c r="D71" s="2"/>
      <x:c r="E71" s="2"/>
    </x:row>
    <x:row r="72" ht="22" customHeight="1">
      <x:c r="A72" s="2"/>
      <x:c r="B72" s="2"/>
      <x:c r="C72" s="2"/>
      <x:c r="D72" s="2"/>
      <x:c r="E72" s="2"/>
    </x:row>
    <x:row r="73" ht="22" customHeight="1">
      <x:c r="A73" s="2"/>
      <x:c r="B73" s="2"/>
      <x:c r="C73" s="2"/>
      <x:c r="D73" s="2"/>
      <x:c r="E73" s="2"/>
    </x:row>
    <x:row r="74" ht="22" customHeight="1">
      <x:c r="A74" s="2"/>
      <x:c r="B74" s="2"/>
      <x:c r="C74" s="2"/>
      <x:c r="D74" s="2"/>
      <x:c r="E74" s="2"/>
    </x:row>
    <x:row r="75" ht="22" customHeight="1">
      <x:c r="A75" s="2"/>
      <x:c r="B75" s="2"/>
      <x:c r="C75" s="2"/>
      <x:c r="D75" s="2"/>
      <x:c r="E75" s="2"/>
    </x:row>
    <x:row r="76" ht="22" customHeight="1">
      <x:c r="A76" s="2"/>
      <x:c r="B76" s="2"/>
      <x:c r="C76" s="2"/>
      <x:c r="D76" s="2"/>
      <x:c r="E76" s="2"/>
    </x:row>
    <x:row r="77" ht="22" customHeight="1">
      <x:c r="A77" s="2"/>
      <x:c r="B77" s="2"/>
      <x:c r="C77" s="2"/>
      <x:c r="D77" s="2"/>
      <x:c r="E77" s="2"/>
    </x:row>
    <x:row r="78" ht="22" customHeight="1">
      <x:c r="A78" s="2"/>
      <x:c r="B78" s="2"/>
      <x:c r="C78" s="2"/>
      <x:c r="D78" s="2"/>
      <x:c r="E78" s="2"/>
    </x:row>
    <x:row r="79" ht="22" customHeight="1">
      <x:c r="A79" s="2"/>
      <x:c r="B79" s="2"/>
      <x:c r="C79" s="2"/>
      <x:c r="D79" s="2"/>
      <x:c r="E79" s="2"/>
    </x:row>
    <x:row r="80" ht="22" customHeight="1">
      <x:c r="A80" s="2"/>
      <x:c r="B80" s="2"/>
      <x:c r="C80" s="2"/>
      <x:c r="D80" s="2"/>
      <x:c r="E80" s="2"/>
    </x:row>
    <x:row r="81" ht="22" customHeight="1">
      <x:c r="A81" s="2"/>
      <x:c r="B81" s="2"/>
      <x:c r="C81" s="2"/>
      <x:c r="D81" s="2"/>
      <x:c r="E81" s="2"/>
    </x:row>
    <x:row r="82" ht="22" customHeight="1">
      <x:c r="A82" s="2"/>
      <x:c r="B82" s="2"/>
      <x:c r="C82" s="2"/>
      <x:c r="D82" s="2"/>
      <x:c r="E82" s="2"/>
    </x:row>
    <x:row r="83" ht="22" customHeight="1">
      <x:c r="A83" s="2"/>
      <x:c r="B83" s="2"/>
      <x:c r="C83" s="2"/>
      <x:c r="D83" s="2"/>
      <x:c r="E83" s="2"/>
    </x:row>
    <x:row r="84" ht="22" customHeight="1">
      <x:c r="A84" s="2"/>
      <x:c r="B84" s="2"/>
      <x:c r="C84" s="2"/>
      <x:c r="D84" s="2"/>
      <x:c r="E84" s="2"/>
    </x:row>
    <x:row r="85" ht="22" customHeight="1">
      <x:c r="A85" s="2"/>
      <x:c r="B85" s="2"/>
      <x:c r="C85" s="2"/>
      <x:c r="D85" s="2"/>
      <x:c r="E85" s="2"/>
    </x:row>
    <x:row r="86" ht="22" customHeight="1">
      <x:c r="A86" s="2"/>
      <x:c r="B86" s="2"/>
      <x:c r="C86" s="2"/>
      <x:c r="D86" s="2"/>
      <x:c r="E86" s="2"/>
    </x:row>
    <x:row r="87" ht="22" customHeight="1">
      <x:c r="A87" s="2"/>
      <x:c r="B87" s="2"/>
      <x:c r="C87" s="2"/>
      <x:c r="D87" s="2"/>
      <x:c r="E87" s="2"/>
    </x:row>
    <x:row r="88" ht="22" customHeight="1">
      <x:c r="A88" s="2"/>
      <x:c r="B88" s="2"/>
      <x:c r="C88" s="2"/>
      <x:c r="D88" s="2"/>
      <x:c r="E88" s="2"/>
    </x:row>
    <x:row r="89" ht="22" customHeight="1">
      <x:c r="A89" s="2"/>
      <x:c r="B89" s="2"/>
      <x:c r="C89" s="2"/>
      <x:c r="D89" s="2"/>
      <x:c r="E89" s="2"/>
    </x:row>
    <x:row r="90" ht="22" customHeight="1">
      <x:c r="A90" s="2"/>
      <x:c r="B90" s="2"/>
      <x:c r="C90" s="2"/>
      <x:c r="D90" s="2"/>
      <x:c r="E90" s="2"/>
    </x:row>
    <x:row r="91" ht="22" customHeight="1">
      <x:c r="A91" s="2"/>
      <x:c r="B91" s="2"/>
      <x:c r="C91" s="2"/>
      <x:c r="D91" s="2"/>
      <x:c r="E91" s="2"/>
    </x:row>
    <x:row r="92" ht="22" customHeight="1">
      <x:c r="A92" s="2"/>
      <x:c r="B92" s="2"/>
      <x:c r="C92" s="2"/>
      <x:c r="D92" s="2"/>
      <x:c r="E92" s="2"/>
    </x:row>
    <x:row r="93" ht="22" customHeight="1">
      <x:c r="A93" s="2"/>
      <x:c r="B93" s="2"/>
      <x:c r="C93" s="2"/>
      <x:c r="D93" s="2"/>
      <x:c r="E93" s="2"/>
    </x:row>
    <x:row r="94" ht="22" customHeight="1">
      <x:c r="A94" s="2"/>
      <x:c r="B94" s="2"/>
      <x:c r="C94" s="2"/>
      <x:c r="D94" s="2"/>
      <x:c r="E94" s="2"/>
    </x:row>
    <x:row r="95" ht="22" customHeight="1">
      <x:c r="A95" s="2"/>
      <x:c r="B95" s="2"/>
      <x:c r="C95" s="2"/>
      <x:c r="D95" s="2"/>
      <x:c r="E95" s="2"/>
    </x:row>
    <x:row r="96" ht="22" customHeight="1">
      <x:c r="A96" s="2"/>
      <x:c r="B96" s="2"/>
      <x:c r="C96" s="2"/>
      <x:c r="D96" s="2"/>
      <x:c r="E96" s="2"/>
    </x:row>
    <x:row r="97" ht="22" customHeight="1">
      <x:c r="A97" s="2"/>
      <x:c r="B97" s="2"/>
      <x:c r="C97" s="2"/>
      <x:c r="D97" s="2"/>
      <x:c r="E97" s="2"/>
    </x:row>
    <x:row r="98" ht="22" customHeight="1">
      <x:c r="A98" s="2"/>
      <x:c r="B98" s="2"/>
      <x:c r="C98" s="2"/>
      <x:c r="D98" s="2"/>
      <x:c r="E98" s="2"/>
    </x:row>
    <x:row r="99" ht="22" customHeight="1">
      <x:c r="A99" s="2"/>
      <x:c r="B99" s="2"/>
      <x:c r="C99" s="2"/>
      <x:c r="D99" s="2"/>
      <x:c r="E99" s="2"/>
    </x:row>
    <x:row r="100" ht="22" customHeight="1">
      <x:c r="A100" s="2"/>
      <x:c r="B100" s="2"/>
      <x:c r="C100" s="2"/>
      <x:c r="D100" s="2"/>
      <x:c r="E100" s="2"/>
    </x:row>
  </x:sheetData>
  <x:mergeCells>
    <x:mergeCell ref="A34:E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42" hidden="0" customWidth="1"/>
    <x:col min="3" max="3" width="12" hidden="0" customWidth="1"/>
    <x:col min="4" max="4" width="14" hidden="0" customWidth="1"/>
    <x:col min="5" max="5" width="12" hidden="0" customWidth="1"/>
    <x:col min="6" max="6" width="25" hidden="0" customWidth="1"/>
  </x:cols>
  <x:sheetData>
    <x:row r="2">
      <x:c r="A2" s="21" t="str">
        <x:v>Decomposição dos casos de uso</x:v>
      </x:c>
    </x:row>
    <x:row r="4">
      <x:c r="A4" s="22" t="str">
        <x:v>Versão 2.0 | 20/10/2026 | Antony Souza Siqueira e Felipe Santana Medeiros</x:v>
      </x:c>
    </x:row>
    <x:row r="6" ht="44" customHeight="1">
      <x:c r="A6" s="24" t="str">
        <x:v>RFS</x:v>
      </x:c>
      <x:c r="B6" s="24" t="str">
        <x:v>Operação</x:v>
      </x:c>
      <x:c r="C6" s="24" t="str">
        <x:v>RFC</x:v>
      </x:c>
      <x:c r="D6" s="24" t="str">
        <x:v>Caso de uso</x:v>
      </x:c>
      <x:c r="E6" s="24" t="str">
        <x:v>Release</x:v>
      </x:c>
      <x:c r="F6" s="24" t="str">
        <x:v>Atividade CRO</x:v>
      </x:c>
    </x:row>
    <x:row r="7" ht="44" customHeight="1">
      <x:c r="A7" s="4" t="str">
        <x:v>RFS01</x:v>
      </x:c>
      <x:c r="B7" s="4" t="str">
        <x:v>Incluir pessoa</x:v>
      </x:c>
      <x:c r="C7" s="4" t="str">
        <x:v>RFC01</x:v>
      </x:c>
      <x:c r="D7" s="4" t="str">
        <x:v>UC01</x:v>
      </x:c>
      <x:c r="E7" s="4" t="str">
        <x:v>R1</x:v>
      </x:c>
      <x:c r="F7" s="4" t="str">
        <x:v>A06.1</x:v>
      </x:c>
    </x:row>
    <x:row r="8" ht="44" customHeight="1">
      <x:c r="A8" s="25" t="str">
        <x:v>RFS02</x:v>
      </x:c>
      <x:c r="B8" s="25" t="str">
        <x:v>Alterar pessoa</x:v>
      </x:c>
      <x:c r="C8" s="25" t="str">
        <x:v>RFC01</x:v>
      </x:c>
      <x:c r="D8" s="25" t="str">
        <x:v>UC01</x:v>
      </x:c>
      <x:c r="E8" s="25" t="str">
        <x:v>R1</x:v>
      </x:c>
      <x:c r="F8" s="25" t="str">
        <x:v>A06.2</x:v>
      </x:c>
    </x:row>
    <x:row r="9" ht="44" customHeight="1">
      <x:c r="A9" s="4" t="str">
        <x:v>RFS03</x:v>
      </x:c>
      <x:c r="B9" s="4" t="str">
        <x:v>Consultar pessoas</x:v>
      </x:c>
      <x:c r="C9" s="4" t="str">
        <x:v>RFC01</x:v>
      </x:c>
      <x:c r="D9" s="4" t="str">
        <x:v>UC01</x:v>
      </x:c>
      <x:c r="E9" s="4" t="str">
        <x:v>R1</x:v>
      </x:c>
      <x:c r="F9" s="4" t="str">
        <x:v>A06.3</x:v>
      </x:c>
    </x:row>
    <x:row r="10" ht="44" customHeight="1">
      <x:c r="A10" s="25" t="str">
        <x:v>RFS04</x:v>
      </x:c>
      <x:c r="B10" s="25" t="str">
        <x:v>Excluir pessoa</x:v>
      </x:c>
      <x:c r="C10" s="25" t="str">
        <x:v>RFC01</x:v>
      </x:c>
      <x:c r="D10" s="25" t="str">
        <x:v>UC01</x:v>
      </x:c>
      <x:c r="E10" s="25" t="str">
        <x:v>R1</x:v>
      </x:c>
      <x:c r="F10" s="25" t="str">
        <x:v>A06.4</x:v>
      </x:c>
    </x:row>
    <x:row r="11" ht="44" customHeight="1">
      <x:c r="A11" s="4" t="str">
        <x:v>RFS05</x:v>
      </x:c>
      <x:c r="B11" s="4" t="str">
        <x:v>Incluir categoria</x:v>
      </x:c>
      <x:c r="C11" s="4" t="str">
        <x:v>RFC02</x:v>
      </x:c>
      <x:c r="D11" s="4" t="str">
        <x:v>UC02</x:v>
      </x:c>
      <x:c r="E11" s="4" t="str">
        <x:v>R1</x:v>
      </x:c>
      <x:c r="F11" s="4" t="str">
        <x:v>A07.1</x:v>
      </x:c>
    </x:row>
    <x:row r="12" ht="44" customHeight="1">
      <x:c r="A12" s="25" t="str">
        <x:v>RFS06</x:v>
      </x:c>
      <x:c r="B12" s="25" t="str">
        <x:v>Alterar categoria</x:v>
      </x:c>
      <x:c r="C12" s="25" t="str">
        <x:v>RFC02</x:v>
      </x:c>
      <x:c r="D12" s="25" t="str">
        <x:v>UC02</x:v>
      </x:c>
      <x:c r="E12" s="25" t="str">
        <x:v>R1</x:v>
      </x:c>
      <x:c r="F12" s="25" t="str">
        <x:v>A07.2</x:v>
      </x:c>
    </x:row>
    <x:row r="13" ht="44" customHeight="1">
      <x:c r="A13" s="4" t="str">
        <x:v>RFS07</x:v>
      </x:c>
      <x:c r="B13" s="4" t="str">
        <x:v>Consultar categorias</x:v>
      </x:c>
      <x:c r="C13" s="4" t="str">
        <x:v>RFC02</x:v>
      </x:c>
      <x:c r="D13" s="4" t="str">
        <x:v>UC02</x:v>
      </x:c>
      <x:c r="E13" s="4" t="str">
        <x:v>R1</x:v>
      </x:c>
      <x:c r="F13" s="4" t="str">
        <x:v>A07.3</x:v>
      </x:c>
    </x:row>
    <x:row r="14" ht="44" customHeight="1">
      <x:c r="A14" s="25" t="str">
        <x:v>RFS08</x:v>
      </x:c>
      <x:c r="B14" s="25" t="str">
        <x:v>Excluir categoria</x:v>
      </x:c>
      <x:c r="C14" s="25" t="str">
        <x:v>RFC02</x:v>
      </x:c>
      <x:c r="D14" s="25" t="str">
        <x:v>UC02</x:v>
      </x:c>
      <x:c r="E14" s="25" t="str">
        <x:v>R1</x:v>
      </x:c>
      <x:c r="F14" s="25" t="str">
        <x:v>A07.4</x:v>
      </x:c>
    </x:row>
    <x:row r="15" ht="44" customHeight="1">
      <x:c r="A15" s="4" t="str">
        <x:v>RFS09</x:v>
      </x:c>
      <x:c r="B15" s="4" t="str">
        <x:v>Incluir objeto</x:v>
      </x:c>
      <x:c r="C15" s="4" t="str">
        <x:v>RFC03</x:v>
      </x:c>
      <x:c r="D15" s="4" t="str">
        <x:v>UC03</x:v>
      </x:c>
      <x:c r="E15" s="4" t="str">
        <x:v>R2</x:v>
      </x:c>
      <x:c r="F15" s="4" t="str">
        <x:v>A10.1</x:v>
      </x:c>
    </x:row>
    <x:row r="16" ht="44" customHeight="1">
      <x:c r="A16" s="25" t="str">
        <x:v>RFS10</x:v>
      </x:c>
      <x:c r="B16" s="25" t="str">
        <x:v>Alterar objeto</x:v>
      </x:c>
      <x:c r="C16" s="25" t="str">
        <x:v>RFC03</x:v>
      </x:c>
      <x:c r="D16" s="25" t="str">
        <x:v>UC03</x:v>
      </x:c>
      <x:c r="E16" s="25" t="str">
        <x:v>R2</x:v>
      </x:c>
      <x:c r="F16" s="25" t="str">
        <x:v>A10.2</x:v>
      </x:c>
    </x:row>
    <x:row r="17" ht="44" customHeight="1">
      <x:c r="A17" s="4" t="str">
        <x:v>RFS11</x:v>
      </x:c>
      <x:c r="B17" s="4" t="str">
        <x:v>Consultar objetos</x:v>
      </x:c>
      <x:c r="C17" s="4" t="str">
        <x:v>RFC03</x:v>
      </x:c>
      <x:c r="D17" s="4" t="str">
        <x:v>UC03</x:v>
      </x:c>
      <x:c r="E17" s="4" t="str">
        <x:v>R2</x:v>
      </x:c>
      <x:c r="F17" s="4" t="str">
        <x:v>A10.3</x:v>
      </x:c>
    </x:row>
    <x:row r="18" ht="44" customHeight="1">
      <x:c r="A18" s="25" t="str">
        <x:v>RFS12</x:v>
      </x:c>
      <x:c r="B18" s="25" t="str">
        <x:v>Excluir objeto</x:v>
      </x:c>
      <x:c r="C18" s="25" t="str">
        <x:v>RFC03</x:v>
      </x:c>
      <x:c r="D18" s="25" t="str">
        <x:v>UC03</x:v>
      </x:c>
      <x:c r="E18" s="25" t="str">
        <x:v>R2</x:v>
      </x:c>
      <x:c r="F18" s="25" t="str">
        <x:v>A10.4</x:v>
      </x:c>
    </x:row>
    <x:row r="19" ht="44" customHeight="1">
      <x:c r="A19" s="4" t="str">
        <x:v>RFS13</x:v>
      </x:c>
      <x:c r="B19" s="4" t="str">
        <x:v>Incluir empréstimo</x:v>
      </x:c>
      <x:c r="C19" s="4" t="str">
        <x:v>RFC04</x:v>
      </x:c>
      <x:c r="D19" s="4" t="str">
        <x:v>UC04</x:v>
      </x:c>
      <x:c r="E19" s="4" t="str">
        <x:v>R2</x:v>
      </x:c>
      <x:c r="F19" s="4" t="str">
        <x:v>A11.1</x:v>
      </x:c>
    </x:row>
    <x:row r="20" ht="44" customHeight="1">
      <x:c r="A20" s="25" t="str">
        <x:v>RFS14</x:v>
      </x:c>
      <x:c r="B20" s="25" t="str">
        <x:v>Alterar empréstimo</x:v>
      </x:c>
      <x:c r="C20" s="25" t="str">
        <x:v>RFC04</x:v>
      </x:c>
      <x:c r="D20" s="25" t="str">
        <x:v>UC04</x:v>
      </x:c>
      <x:c r="E20" s="25" t="str">
        <x:v>R2</x:v>
      </x:c>
      <x:c r="F20" s="25" t="str">
        <x:v>A11.2</x:v>
      </x:c>
    </x:row>
    <x:row r="21" ht="44" customHeight="1">
      <x:c r="A21" s="4" t="str">
        <x:v>RFS15</x:v>
      </x:c>
      <x:c r="B21" s="4" t="str">
        <x:v>Consultar empréstimos</x:v>
      </x:c>
      <x:c r="C21" s="4" t="str">
        <x:v>RFC04</x:v>
      </x:c>
      <x:c r="D21" s="4" t="str">
        <x:v>UC04</x:v>
      </x:c>
      <x:c r="E21" s="4" t="str">
        <x:v>R2</x:v>
      </x:c>
      <x:c r="F21" s="4" t="str">
        <x:v>A11.3</x:v>
      </x:c>
    </x:row>
    <x:row r="22" ht="44" customHeight="1">
      <x:c r="A22" s="25" t="str">
        <x:v>RFS16</x:v>
      </x:c>
      <x:c r="B22" s="25" t="str">
        <x:v>Excluir empréstimo</x:v>
      </x:c>
      <x:c r="C22" s="25" t="str">
        <x:v>RFC04</x:v>
      </x:c>
      <x:c r="D22" s="25" t="str">
        <x:v>UC04</x:v>
      </x:c>
      <x:c r="E22" s="25" t="str">
        <x:v>R2</x:v>
      </x:c>
      <x:c r="F22" s="25" t="str">
        <x:v>A11.4</x:v>
      </x:c>
    </x:row>
    <x:row r="23" ht="44" customHeight="1">
      <x:c r="A23" s="4" t="str">
        <x:v>RFS17</x:v>
      </x:c>
      <x:c r="B23" s="4" t="str">
        <x:v>Registrar devolução</x:v>
      </x:c>
      <x:c r="C23" s="4" t="str">
        <x:v>RFC04</x:v>
      </x:c>
      <x:c r="D23" s="4" t="str">
        <x:v>UC04</x:v>
      </x:c>
      <x:c r="E23" s="4" t="str">
        <x:v>R2</x:v>
      </x:c>
      <x:c r="F23" s="4" t="str">
        <x:v>A11.5</x:v>
      </x:c>
    </x:row>
    <x:row r="24" ht="44" customHeight="1">
      <x:c r="A24" s="25" t="str">
        <x:v>RFS18</x:v>
      </x:c>
      <x:c r="B24" s="25" t="str">
        <x:v>Consultar pendências</x:v>
      </x:c>
      <x:c r="C24" s="25" t="str">
        <x:v>RFC05</x:v>
      </x:c>
      <x:c r="D24" s="25" t="str">
        <x:v>UC05</x:v>
      </x:c>
      <x:c r="E24" s="25" t="str">
        <x:v>R3</x:v>
      </x:c>
      <x:c r="F24" s="25" t="str">
        <x:v>A14.1; A14.2; A14.3</x:v>
      </x:c>
    </x:row>
    <x:row r="25" ht="44" customHeight="1">
      <x:c r="A25" s="4" t="str">
        <x:v>RFS19</x:v>
      </x:c>
      <x:c r="B25" s="4" t="str">
        <x:v>Consultar histórico</x:v>
      </x:c>
      <x:c r="C25" s="4" t="str">
        <x:v>RFC06</x:v>
      </x:c>
      <x:c r="D25" s="4" t="str">
        <x:v>UC06</x:v>
      </x:c>
      <x:c r="E25" s="4" t="str">
        <x:v>R4</x:v>
      </x:c>
      <x:c r="F25" s="4" t="str">
        <x:v>A17.1; A17.2; A17.3</x:v>
      </x:c>
    </x:row>
  </x:sheetData>
  <x:pageMargins left="0.7" right="0.7" top="0.75" bottom="0.75" header="0.3" footer="0.3"/>
  <x:tableParts count="1">
    <x:tablePart xmlns:r="http://schemas.openxmlformats.org/officeDocument/2006/relationships" r:id="R04e02e903e644254"/>
  </x:tableParts>
</x:worksheet>
</file>