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adeMeuTrem\docs\"/>
    </mc:Choice>
  </mc:AlternateContent>
  <xr:revisionPtr revIDLastSave="0" documentId="13_ncr:1_{48D74E07-DA33-46E4-B3AC-31FC1210DB10}" xr6:coauthVersionLast="47" xr6:coauthVersionMax="47" xr10:uidLastSave="{00000000-0000-0000-0000-000000000000}"/>
  <bookViews>
    <workbookView xWindow="7200" yWindow="4095" windowWidth="21600" windowHeight="11385" xr2:uid="{00000000-000D-0000-FFFF-FFFF00000000}"/>
  </bookViews>
  <sheets>
    <sheet name="Estimativa" sheetId="1" r:id="rId1"/>
    <sheet name="Atores e casos" sheetId="2" r:id="rId2"/>
    <sheet name="Fatores" sheetId="3" r:id="rId3"/>
    <sheet name="Esforco" sheetId="4" r:id="rId4"/>
    <sheet name="Detalham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31" i="3"/>
  <c r="E30" i="3"/>
  <c r="E29" i="3"/>
  <c r="E28" i="3"/>
  <c r="E27" i="3"/>
  <c r="E26" i="3"/>
  <c r="E25" i="3"/>
  <c r="E33" i="3" s="1"/>
  <c r="E34" i="3" s="1"/>
  <c r="B11" i="1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F17" i="2"/>
  <c r="E17" i="2"/>
  <c r="F16" i="2"/>
  <c r="E16" i="2"/>
  <c r="F15" i="2"/>
  <c r="E15" i="2"/>
  <c r="F14" i="2"/>
  <c r="E14" i="2"/>
  <c r="F13" i="2"/>
  <c r="E13" i="2"/>
  <c r="F12" i="2"/>
  <c r="B8" i="1" s="1"/>
  <c r="E12" i="2"/>
  <c r="B24" i="1"/>
  <c r="B18" i="1"/>
  <c r="D25" i="1" s="1"/>
  <c r="B16" i="1"/>
  <c r="B19" i="1" s="1"/>
  <c r="B7" i="1"/>
  <c r="B9" i="1" l="1"/>
  <c r="E20" i="3"/>
  <c r="E21" i="3" s="1"/>
  <c r="B10" i="1" s="1"/>
  <c r="B12" i="1" s="1"/>
  <c r="D24" i="1"/>
  <c r="B14" i="1" l="1"/>
  <c r="B15" i="1" s="1"/>
  <c r="B17" i="1" s="1"/>
  <c r="C25" i="1"/>
  <c r="E25" i="1" s="1"/>
  <c r="C24" i="1"/>
  <c r="E24" i="1" s="1"/>
</calcChain>
</file>

<file path=xl/sharedStrings.xml><?xml version="1.0" encoding="utf-8"?>
<sst xmlns="http://schemas.openxmlformats.org/spreadsheetml/2006/main" count="446" uniqueCount="324">
  <si>
    <t>Estimativa de tamanho e esforço</t>
  </si>
  <si>
    <t>EST 2.1 | 27/10/2026 | Equipe: Antony Souza Siqueira e Felipe Santana Medeiros</t>
  </si>
  <si>
    <t>Medida</t>
  </si>
  <si>
    <t>Valor</t>
  </si>
  <si>
    <t>Unidade</t>
  </si>
  <si>
    <t>Origem</t>
  </si>
  <si>
    <t>Natureza</t>
  </si>
  <si>
    <t>Observação</t>
  </si>
  <si>
    <t>Peso dos atores</t>
  </si>
  <si>
    <t>pontos</t>
  </si>
  <si>
    <t>Atores e casos</t>
  </si>
  <si>
    <t>Calculado</t>
  </si>
  <si>
    <t>Um operador humano em interface gráfica</t>
  </si>
  <si>
    <t>Peso dos casos de uso</t>
  </si>
  <si>
    <t>Quatro CRUDs e dois relatórios</t>
  </si>
  <si>
    <t>Tamanho não ajustado</t>
  </si>
  <si>
    <t>UUCP</t>
  </si>
  <si>
    <t>Atores + casos</t>
  </si>
  <si>
    <t>Sem duplicar operações dos CRUDs</t>
  </si>
  <si>
    <t>Fator técnico</t>
  </si>
  <si>
    <t>TCF</t>
  </si>
  <si>
    <t>Fatores</t>
  </si>
  <si>
    <t>0,6 + 0,01 × soma técnica</t>
  </si>
  <si>
    <t>Fator ambiental</t>
  </si>
  <si>
    <t>ECF</t>
  </si>
  <si>
    <t>1,4 − 0,03 × soma ambiental</t>
  </si>
  <si>
    <t>Tamanho ajustado</t>
  </si>
  <si>
    <t>PCU</t>
  </si>
  <si>
    <t>UUCP × TCF × ECF</t>
  </si>
  <si>
    <t>Precisão mantida no cálculo</t>
  </si>
  <si>
    <t>Produtividade adotada</t>
  </si>
  <si>
    <t>h / PCU</t>
  </si>
  <si>
    <t>Premissa</t>
  </si>
  <si>
    <t>Editável</t>
  </si>
  <si>
    <t>Hipótese para Python + Flask local, sem série histórica; revisar com as horas reais da R1</t>
  </si>
  <si>
    <t>Esforço pelo tamanho</t>
  </si>
  <si>
    <t>h</t>
  </si>
  <si>
    <t>PCU × produtividade</t>
  </si>
  <si>
    <t>Inclui o ciclo completo</t>
  </si>
  <si>
    <t>Esforço base arredondado</t>
  </si>
  <si>
    <t>Arredondar para cima</t>
  </si>
  <si>
    <t>Referência para comparação com cronograma</t>
  </si>
  <si>
    <t>Estimativa por atividades</t>
  </si>
  <si>
    <t>Esforco</t>
  </si>
  <si>
    <t>Distribuição independente por pacote de trabalho</t>
  </si>
  <si>
    <t>Diferença de estimativas</t>
  </si>
  <si>
    <t>Atividades − PCU</t>
  </si>
  <si>
    <t>Replanejar se houver diferença após editar premissas</t>
  </si>
  <si>
    <t>Reserva explícita</t>
  </si>
  <si>
    <t>Revisões e correções; não é trabalho já executado</t>
  </si>
  <si>
    <t>Total com reserva</t>
  </si>
  <si>
    <t>Atividades + reserva</t>
  </si>
  <si>
    <t>É o total planejado no CRO</t>
  </si>
  <si>
    <t>Produtividade provisória. A decomposição em RFS não amplia o produto nem comprova que o esforço seja suficiente; revisar após a R1.</t>
  </si>
  <si>
    <t>Cenário</t>
  </si>
  <si>
    <t>Esforço base h</t>
  </si>
  <si>
    <t>Reserva h</t>
  </si>
  <si>
    <t>Total h</t>
  </si>
  <si>
    <t>Interpretação</t>
  </si>
  <si>
    <t>Base</t>
  </si>
  <si>
    <t>Arquitetura simples e componentes reutilizados</t>
  </si>
  <si>
    <t>Mais lento</t>
  </si>
  <si>
    <t>Mostra o impacto de aprendizado e retrabalho</t>
  </si>
  <si>
    <t>Método: Pontos de Caso de Uso, conforme modelo PCU da disciplina. Os exemplos e a base histórica fictícia do modelo não foram tratados como dados reais deste projeto.</t>
  </si>
  <si>
    <t>Controle: mudanças nos fatores ou na produtividade recalculam a EST. A distribuição por atividade e os arquivos CRO/MRB exigem revisão conjunta; não há vínculos externos ocultos.</t>
  </si>
  <si>
    <t>Atores e casos de uso</t>
  </si>
  <si>
    <t>Apenas o operador usa o sistema. A pessoa que recebe um objeto é um cadastro, não um segundo ator.</t>
  </si>
  <si>
    <t>Ator</t>
  </si>
  <si>
    <t>Tipo</t>
  </si>
  <si>
    <t>Quantidade</t>
  </si>
  <si>
    <t>Peso total</t>
  </si>
  <si>
    <t>Operador</t>
  </si>
  <si>
    <t>Complexo</t>
  </si>
  <si>
    <t>Caso</t>
  </si>
  <si>
    <t>Requisito</t>
  </si>
  <si>
    <t>Objetivo</t>
  </si>
  <si>
    <t>Transações</t>
  </si>
  <si>
    <t>Classe</t>
  </si>
  <si>
    <t>Peso</t>
  </si>
  <si>
    <t>Release</t>
  </si>
  <si>
    <t>Transações consolidadas</t>
  </si>
  <si>
    <t>UC01</t>
  </si>
  <si>
    <t>RFC01</t>
  </si>
  <si>
    <t>Manter pessoas</t>
  </si>
  <si>
    <t>R1</t>
  </si>
  <si>
    <t>Incluir pessoa; consultar lista e detalhe; alterar cadastro; excluir cadastro sem vínculo.</t>
  </si>
  <si>
    <t>UC02</t>
  </si>
  <si>
    <t>RFC02</t>
  </si>
  <si>
    <t>Manter categorias</t>
  </si>
  <si>
    <t>Incluir categoria; consultar; alterar; excluir categoria sem objeto vinculado.</t>
  </si>
  <si>
    <t>UC03</t>
  </si>
  <si>
    <t>RFC03</t>
  </si>
  <si>
    <t>Manter objetos</t>
  </si>
  <si>
    <t>R2</t>
  </si>
  <si>
    <t>Incluir objeto; consultar disponibilidade; alterar cadastro; excluir objeto sem empréstimo vinculado.</t>
  </si>
  <si>
    <t>UC04</t>
  </si>
  <si>
    <t>RFC04</t>
  </si>
  <si>
    <t>Controlar empréstimos</t>
  </si>
  <si>
    <t>Registrar retirada; consultar; alterar previsão ou observação; excluir lançamento confirmado; registrar devolução.</t>
  </si>
  <si>
    <t>UC05</t>
  </si>
  <si>
    <t>RFC05</t>
  </si>
  <si>
    <t>Consultar pendências</t>
  </si>
  <si>
    <t>R3</t>
  </si>
  <si>
    <t>Informar filtros; receber lista de empréstimos abertos, atrasos e totais.</t>
  </si>
  <si>
    <t>UC06</t>
  </si>
  <si>
    <t>RFC06</t>
  </si>
  <si>
    <t>Consultar histórico</t>
  </si>
  <si>
    <t>R4</t>
  </si>
  <si>
    <t>Informar período e filtros; receber histórico e totais de abertos e devolvidos.</t>
  </si>
  <si>
    <t>Convenção de contagem: cada transação é uma operação de negócio completa com pedido e resposta do sistema. Os fluxos de manutenção agrupam inclusão, consulta, alteração e exclusão. Não se contam campos, cliques nem telas.</t>
  </si>
  <si>
    <t>Os 19 RFSs detalham os seis casos agregados. UC04 inclui devolução. A aba Detalhamento mostra a correspondência, sem somar os RFSs novamente.</t>
  </si>
  <si>
    <t>Pesos: ator por interface gráfica = 3. Casos simples: até 3 transações = 5; médios: 4 a 7 = 10; complexos: acima de 7 = 15.</t>
  </si>
  <si>
    <t>Fatores técnicos e ambientais</t>
  </si>
  <si>
    <t>ID</t>
  </si>
  <si>
    <t>Influência</t>
  </si>
  <si>
    <t>Produto</t>
  </si>
  <si>
    <t>Justificativa</t>
  </si>
  <si>
    <t>T01</t>
  </si>
  <si>
    <t>Sistemas distribuídos</t>
  </si>
  <si>
    <t>Aplicação e banco no mesmo computador.</t>
  </si>
  <si>
    <t>T02</t>
  </si>
  <si>
    <t>Tempo de resposta</t>
  </si>
  <si>
    <t>Meta local simples de até 2 segundos.</t>
  </si>
  <si>
    <t>T03</t>
  </si>
  <si>
    <t>Grau de escolaridade do usuário final</t>
  </si>
  <si>
    <t>Sem exigência técnica especial para o operador.</t>
  </si>
  <si>
    <t>T04</t>
  </si>
  <si>
    <t>Processamento interno complexo</t>
  </si>
  <si>
    <t>Validações de datas e disponibilidade, sem otimização complexa.</t>
  </si>
  <si>
    <t>T05</t>
  </si>
  <si>
    <t>Reusabilidade em outras aplicações</t>
  </si>
  <si>
    <t>Não é objetivo da entrega.</t>
  </si>
  <si>
    <t>T06</t>
  </si>
  <si>
    <t>Facilidade de instalação</t>
  </si>
  <si>
    <t>Roteiro local reproduzível, sem instalador próprio.</t>
  </si>
  <si>
    <t>T07</t>
  </si>
  <si>
    <t>Usabilidade</t>
  </si>
  <si>
    <t>Formulários claros e confirmação de exclusão.</t>
  </si>
  <si>
    <t>T08</t>
  </si>
  <si>
    <t>Portabilidade</t>
  </si>
  <si>
    <t>Entrega validada em um ambiente Windows.</t>
  </si>
  <si>
    <t>T09</t>
  </si>
  <si>
    <t>Facilidade de manutenção</t>
  </si>
  <si>
    <t>Separação simples entre telas e acesso a dados.</t>
  </si>
  <si>
    <t>T10</t>
  </si>
  <si>
    <t>Concorrência</t>
  </si>
  <si>
    <t>Um operador por vez.</t>
  </si>
  <si>
    <t>T11</t>
  </si>
  <si>
    <t>Segurança especial</t>
  </si>
  <si>
    <t>Validação de entrada e proteção dos arquivos locais.</t>
  </si>
  <si>
    <t>T12</t>
  </si>
  <si>
    <t>Acesso direto para terceiros</t>
  </si>
  <si>
    <t>Nenhuma integração externa.</t>
  </si>
  <si>
    <t>T13</t>
  </si>
  <si>
    <t>Treinamento especial</t>
  </si>
  <si>
    <t>Instruções curtas de uso.</t>
  </si>
  <si>
    <t>Soma técnica</t>
  </si>
  <si>
    <t>F01</t>
  </si>
  <si>
    <t>Familiaridade com processo</t>
  </si>
  <si>
    <t>Hipótese intermediária, sem avaliação formal da equipe.</t>
  </si>
  <si>
    <t>F02</t>
  </si>
  <si>
    <t>Experiência no domínio</t>
  </si>
  <si>
    <t>Empréstimos de objetos têm regras familiares; nota provisória.</t>
  </si>
  <si>
    <t>F03</t>
  </si>
  <si>
    <t>Experiência em orientação a objetos</t>
  </si>
  <si>
    <t>Hipótese intermediária a revisar após a primeira release.</t>
  </si>
  <si>
    <t>F04</t>
  </si>
  <si>
    <t>Capacidade de liderança</t>
  </si>
  <si>
    <t>Hipótese neutra, sem atribuir experiência comprovada.</t>
  </si>
  <si>
    <t>F05</t>
  </si>
  <si>
    <t>Motivação</t>
  </si>
  <si>
    <t>Hipótese intermediária para o planejamento.</t>
  </si>
  <si>
    <t>F06</t>
  </si>
  <si>
    <t>Estabilidade dos requisitos</t>
  </si>
  <si>
    <t>Escopo pequeno fixado na Release 0.</t>
  </si>
  <si>
    <t>F07</t>
  </si>
  <si>
    <t>Dedicação parcial</t>
  </si>
  <si>
    <t>Projeto conciliado com estágio e TCC.</t>
  </si>
  <si>
    <t>F08</t>
  </si>
  <si>
    <t>Dificuldade da linguagem</t>
  </si>
  <si>
    <t>Python já usado pela dupla nos testes Selenium; Flask com arquitetura simples. Nota a revisar com a R1.</t>
  </si>
  <si>
    <t>Soma ambiental</t>
  </si>
  <si>
    <t>Escala de influência de 0 a 5. F07 representa dedicação parcial. Notas ambientais são premissas e devem ser revisitadas com resultados da primeira release.</t>
  </si>
  <si>
    <t>Fonte: modelo PCU da disciplina. Equipe em dupla; fatores mantidos provisoriamente até revisar a execução conjunta.</t>
  </si>
  <si>
    <t>Estimativa por atividade</t>
  </si>
  <si>
    <t>Atividade</t>
  </si>
  <si>
    <t>Pacote de trabalho</t>
  </si>
  <si>
    <t>Horas</t>
  </si>
  <si>
    <t>Entrega</t>
  </si>
  <si>
    <t>A01</t>
  </si>
  <si>
    <t>Definir escopo e regras</t>
  </si>
  <si>
    <t>DRE seções 1 e 2</t>
  </si>
  <si>
    <t>A02</t>
  </si>
  <si>
    <t>Especificar requisitos e critérios</t>
  </si>
  <si>
    <t>DRE completo</t>
  </si>
  <si>
    <t>A03</t>
  </si>
  <si>
    <t>Estimar tamanho e rastrear requisitos</t>
  </si>
  <si>
    <t>EST e MRB</t>
  </si>
  <si>
    <t>A04</t>
  </si>
  <si>
    <t>Planejar e versionar a análise</t>
  </si>
  <si>
    <t>CRO e branch analise/release-0</t>
  </si>
  <si>
    <t>B00</t>
  </si>
  <si>
    <t>Reserva</t>
  </si>
  <si>
    <t>Reserva para revisão cruzada</t>
  </si>
  <si>
    <t>Correções se necessárias</t>
  </si>
  <si>
    <t>A05</t>
  </si>
  <si>
    <t>Preparar base local e estrutura comum</t>
  </si>
  <si>
    <t>Python, Flask e SQLite com dados de exemplo</t>
  </si>
  <si>
    <t>A06</t>
  </si>
  <si>
    <t>Implementar CRUD de pessoas</t>
  </si>
  <si>
    <t>RFC01 e UC01</t>
  </si>
  <si>
    <t>A07</t>
  </si>
  <si>
    <t>Implementar CRUD de categorias</t>
  </si>
  <si>
    <t>RFC02 e UC02</t>
  </si>
  <si>
    <t>A08</t>
  </si>
  <si>
    <t>Automatizar testes dos dois CRUDs</t>
  </si>
  <si>
    <t>CT01 e CT02 e base Selenium</t>
  </si>
  <si>
    <t>A09</t>
  </si>
  <si>
    <t>Revisar documentos e apresentar R1</t>
  </si>
  <si>
    <t>Cronograma atualizado e tag release-1</t>
  </si>
  <si>
    <t>B01</t>
  </si>
  <si>
    <t>Reserva de correção R1</t>
  </si>
  <si>
    <t>A10</t>
  </si>
  <si>
    <t>Implementar CRUD de objetos</t>
  </si>
  <si>
    <t>RFC03 e UC03</t>
  </si>
  <si>
    <t>A11</t>
  </si>
  <si>
    <t>Implementar empréstimos e devolução</t>
  </si>
  <si>
    <t>RFC04 e UC04</t>
  </si>
  <si>
    <t>A12</t>
  </si>
  <si>
    <t>Testar integridade e fluxos completos</t>
  </si>
  <si>
    <t>CT03 a CT06 e CT10 e CT13</t>
  </si>
  <si>
    <t>A13</t>
  </si>
  <si>
    <t>Revisar documentos e apresentar R2</t>
  </si>
  <si>
    <t>Cronograma atualizado e tag release-2</t>
  </si>
  <si>
    <t>B02</t>
  </si>
  <si>
    <t>Reserva de correção R2</t>
  </si>
  <si>
    <t>A14</t>
  </si>
  <si>
    <t>Implementar relatório de pendências</t>
  </si>
  <si>
    <t>RFC05 e UC05</t>
  </si>
  <si>
    <t>A15</t>
  </si>
  <si>
    <t>Testar filtros e atraso</t>
  </si>
  <si>
    <t>CT07 e CT09 e CT12</t>
  </si>
  <si>
    <t>A16</t>
  </si>
  <si>
    <t>Revisar documentos e apresentar R3</t>
  </si>
  <si>
    <t>Cronograma atualizado e tag release-3</t>
  </si>
  <si>
    <t>B03</t>
  </si>
  <si>
    <t>Reserva de correção R3</t>
  </si>
  <si>
    <t>A17</t>
  </si>
  <si>
    <t>Implementar histórico de empréstimos</t>
  </si>
  <si>
    <t>RFC06 e UC06</t>
  </si>
  <si>
    <t>A18</t>
  </si>
  <si>
    <t>Executar regressão e verificar instalação</t>
  </si>
  <si>
    <t>CT01 a CT14</t>
  </si>
  <si>
    <t>A19</t>
  </si>
  <si>
    <t>Consolidar manual e documentação</t>
  </si>
  <si>
    <t>Instruções de execução e documentação final</t>
  </si>
  <si>
    <t>A20</t>
  </si>
  <si>
    <t>Versionar e apresentar entrega final</t>
  </si>
  <si>
    <t>Tag release-4 e demonstração</t>
  </si>
  <si>
    <t>B04</t>
  </si>
  <si>
    <t>Reserva final de correção</t>
  </si>
  <si>
    <t>As mesmas atividades e horas compõem a linha de base do CRO. A reserva só gera horas reais quando utilizada.</t>
  </si>
  <si>
    <t>Decomposição dos casos de uso</t>
  </si>
  <si>
    <t>Versão 2.1 | 27/10/2026 | Antony Souza Siqueira e Felipe Santana Medeiros</t>
  </si>
  <si>
    <t>RFS</t>
  </si>
  <si>
    <t>Operação</t>
  </si>
  <si>
    <t>RFC</t>
  </si>
  <si>
    <t>Caso de uso</t>
  </si>
  <si>
    <t>Atividade CRO</t>
  </si>
  <si>
    <t>RFS01</t>
  </si>
  <si>
    <t>Incluir pessoa</t>
  </si>
  <si>
    <t>A06.1</t>
  </si>
  <si>
    <t>RFS02</t>
  </si>
  <si>
    <t>Alterar pessoa</t>
  </si>
  <si>
    <t>A06.2</t>
  </si>
  <si>
    <t>RFS03</t>
  </si>
  <si>
    <t>Consultar pessoas</t>
  </si>
  <si>
    <t>A06.3</t>
  </si>
  <si>
    <t>RFS04</t>
  </si>
  <si>
    <t>Excluir pessoa</t>
  </si>
  <si>
    <t>A06.4</t>
  </si>
  <si>
    <t>RFS05</t>
  </si>
  <si>
    <t>Incluir categoria</t>
  </si>
  <si>
    <t>A07.1</t>
  </si>
  <si>
    <t>RFS06</t>
  </si>
  <si>
    <t>Alterar categoria</t>
  </si>
  <si>
    <t>A07.2</t>
  </si>
  <si>
    <t>RFS07</t>
  </si>
  <si>
    <t>Consultar categorias</t>
  </si>
  <si>
    <t>A07.3</t>
  </si>
  <si>
    <t>RFS08</t>
  </si>
  <si>
    <t>Excluir categoria</t>
  </si>
  <si>
    <t>A07.4</t>
  </si>
  <si>
    <t>RFS09</t>
  </si>
  <si>
    <t>Incluir objeto</t>
  </si>
  <si>
    <t>A10.1</t>
  </si>
  <si>
    <t>RFS10</t>
  </si>
  <si>
    <t>Alterar objeto</t>
  </si>
  <si>
    <t>A10.2</t>
  </si>
  <si>
    <t>RFS11</t>
  </si>
  <si>
    <t>Consultar objetos</t>
  </si>
  <si>
    <t>A10.3</t>
  </si>
  <si>
    <t>RFS12</t>
  </si>
  <si>
    <t>Excluir objeto</t>
  </si>
  <si>
    <t>A10.4</t>
  </si>
  <si>
    <t>RFS13</t>
  </si>
  <si>
    <t>Incluir empréstimo</t>
  </si>
  <si>
    <t>A11.1</t>
  </si>
  <si>
    <t>RFS14</t>
  </si>
  <si>
    <t>Alterar empréstimo</t>
  </si>
  <si>
    <t>A11.2</t>
  </si>
  <si>
    <t>RFS15</t>
  </si>
  <si>
    <t>Consultar empréstimos</t>
  </si>
  <si>
    <t>A11.3</t>
  </si>
  <si>
    <t>RFS16</t>
  </si>
  <si>
    <t>Excluir empréstimo</t>
  </si>
  <si>
    <t>A11.4</t>
  </si>
  <si>
    <t>RFS17</t>
  </si>
  <si>
    <t>Registrar devolução</t>
  </si>
  <si>
    <t>A11.5</t>
  </si>
  <si>
    <t>RFS18</t>
  </si>
  <si>
    <t>A14.1; A14.2; A14.3</t>
  </si>
  <si>
    <t>RFS19</t>
  </si>
  <si>
    <t>A17.1; A17.2; A17.3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</si>
</sst>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name val="Carlito"/>
    </font>
    <font>
      <sz val="10"/>
      <color rgb="FF222222"/>
      <name val="Arial"/>
    </font>
    <font>
      <b/>
      <sz val="16"/>
      <color rgb="FF000000"/>
      <name val="Arial"/>
    </font>
    <font>
      <b/>
      <sz val="10"/>
      <color rgb="FFFFFFFF"/>
      <name val="Arial"/>
    </font>
    <font>
      <b/>
      <sz val="16"/>
      <color rgb="FF000000"/>
      <name val="Carlito"/>
    </font>
    <font>
      <sz val="10"/>
      <color rgb="FF33333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3D4542"/>
      </patternFill>
    </fill>
    <fill>
      <patternFill patternType="solid">
        <fgColor rgb="FFFFFFFF"/>
      </patternFill>
    </fill>
    <fill>
      <patternFill patternType="solid">
        <fgColor rgb="FFF2F4F2"/>
      </patternFill>
    </fill>
    <fill>
      <patternFill patternType="solid">
        <fgColor rgb="FFFFF0CF"/>
      </patternFill>
    </fill>
    <fill>
      <patternFill patternType="solid">
        <fgColor rgb="FF3D4542"/>
      </patternFill>
    </fill>
    <fill>
      <patternFill patternType="solid">
        <fgColor rgb="FFF2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2" fontId="1" fillId="3" borderId="0" xfId="0" applyNumberFormat="1" applyFont="1" applyFill="1" applyAlignment="1">
      <alignment vertical="center" wrapText="1"/>
    </xf>
    <xf numFmtId="2" fontId="1" fillId="4" borderId="0" xfId="0" applyNumberFormat="1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2" fontId="1" fillId="5" borderId="0" xfId="0" applyNumberFormat="1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2" fontId="1" fillId="0" borderId="0" xfId="0" applyNumberFormat="1" applyFont="1" applyAlignment="1">
      <alignment vertical="center"/>
    </xf>
    <xf numFmtId="2" fontId="3" fillId="2" borderId="0" xfId="0" applyNumberFormat="1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1">
    <dxf>
      <fill>
        <patternFill>
          <bgColor rgb="FFF8DC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Detalhamento" displayName="TDetalhamento" ref="A6:F25" totalsRowShown="0">
  <tableColumns count="6">
    <tableColumn id="1" xr3:uid="{00000000-0010-0000-0000-000001000000}" name="RFS"/>
    <tableColumn id="2" xr3:uid="{00000000-0010-0000-0000-000002000000}" name="Operação"/>
    <tableColumn id="3" xr3:uid="{00000000-0010-0000-0000-000003000000}" name="RFC"/>
    <tableColumn id="4" xr3:uid="{00000000-0010-0000-0000-000004000000}" name="Caso de uso"/>
    <tableColumn id="5" xr3:uid="{00000000-0010-0000-0000-000005000000}" name="Release"/>
    <tableColumn id="6" xr3:uid="{00000000-0010-0000-0000-000006000000}" name="Atividade 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showGridLines="0" tabSelected="1" workbookViewId="0">
      <pane ySplit="23" topLeftCell="A24" activePane="bottomLeft" state="frozen"/>
      <selection pane="bottomLeft"/>
    </sheetView>
  </sheetViews>
  <sheetFormatPr defaultRowHeight="14.25"/>
  <cols>
    <col min="1" max="1" width="45" customWidth="1"/>
    <col min="2" max="5" width="20" customWidth="1"/>
    <col min="6" max="6" width="32" customWidth="1"/>
  </cols>
  <sheetData>
    <row r="1" spans="1:6" ht="21.95" customHeight="1">
      <c r="A1" s="1"/>
      <c r="B1" s="1"/>
      <c r="C1" s="1"/>
      <c r="D1" s="1"/>
      <c r="E1" s="1"/>
      <c r="F1" s="1"/>
    </row>
    <row r="2" spans="1:6" ht="30" customHeight="1">
      <c r="A2" s="2" t="s">
        <v>0</v>
      </c>
      <c r="B2" s="1"/>
      <c r="C2" s="1"/>
      <c r="D2" s="1"/>
      <c r="E2" s="1"/>
      <c r="F2" s="1"/>
    </row>
    <row r="3" spans="1:6" ht="21.95" customHeight="1">
      <c r="A3" s="1"/>
      <c r="B3" s="1"/>
      <c r="C3" s="1"/>
      <c r="D3" s="1"/>
      <c r="E3" s="1"/>
      <c r="F3" s="1"/>
    </row>
    <row r="4" spans="1:6" ht="32.1" customHeight="1">
      <c r="A4" s="20" t="s">
        <v>1</v>
      </c>
      <c r="B4" s="21"/>
      <c r="C4" s="21"/>
      <c r="D4" s="21"/>
      <c r="E4" s="21"/>
      <c r="F4" s="21"/>
    </row>
    <row r="5" spans="1:6" ht="21.95" customHeight="1">
      <c r="A5" s="1"/>
      <c r="B5" s="1"/>
      <c r="C5" s="1"/>
      <c r="D5" s="1"/>
      <c r="E5" s="1"/>
      <c r="F5" s="1"/>
    </row>
    <row r="6" spans="1:6" ht="32.1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 ht="39.950000000000003" customHeight="1">
      <c r="A7" s="5" t="s">
        <v>8</v>
      </c>
      <c r="B7" s="7">
        <f>'Atores e casos'!D7</f>
        <v>3</v>
      </c>
      <c r="C7" s="5" t="s">
        <v>9</v>
      </c>
      <c r="D7" s="5" t="s">
        <v>10</v>
      </c>
      <c r="E7" s="5" t="s">
        <v>11</v>
      </c>
      <c r="F7" s="5" t="s">
        <v>12</v>
      </c>
    </row>
    <row r="8" spans="1:6" ht="39.950000000000003" customHeight="1">
      <c r="A8" s="6" t="s">
        <v>13</v>
      </c>
      <c r="B8" s="8">
        <f>SUM('Atores e casos'!F12:F17)</f>
        <v>50</v>
      </c>
      <c r="C8" s="6" t="s">
        <v>9</v>
      </c>
      <c r="D8" s="6" t="s">
        <v>10</v>
      </c>
      <c r="E8" s="6" t="s">
        <v>11</v>
      </c>
      <c r="F8" s="6" t="s">
        <v>14</v>
      </c>
    </row>
    <row r="9" spans="1:6" ht="39.950000000000003" customHeight="1">
      <c r="A9" s="5" t="s">
        <v>15</v>
      </c>
      <c r="B9" s="7">
        <f>B7+B8</f>
        <v>53</v>
      </c>
      <c r="C9" s="5" t="s">
        <v>16</v>
      </c>
      <c r="D9" s="5" t="s">
        <v>17</v>
      </c>
      <c r="E9" s="5" t="s">
        <v>11</v>
      </c>
      <c r="F9" s="5" t="s">
        <v>18</v>
      </c>
    </row>
    <row r="10" spans="1:6" ht="39.950000000000003" customHeight="1">
      <c r="A10" s="6" t="s">
        <v>19</v>
      </c>
      <c r="B10" s="9">
        <f>Fatores!E21</f>
        <v>0.67499999999999993</v>
      </c>
      <c r="C10" s="6" t="s">
        <v>20</v>
      </c>
      <c r="D10" s="6" t="s">
        <v>21</v>
      </c>
      <c r="E10" s="6" t="s">
        <v>11</v>
      </c>
      <c r="F10" s="6" t="s">
        <v>22</v>
      </c>
    </row>
    <row r="11" spans="1:6" ht="39.950000000000003" customHeight="1">
      <c r="A11" s="5" t="s">
        <v>23</v>
      </c>
      <c r="B11" s="10">
        <f>Fatores!E34</f>
        <v>0.93499999999999994</v>
      </c>
      <c r="C11" s="5" t="s">
        <v>24</v>
      </c>
      <c r="D11" s="5" t="s">
        <v>21</v>
      </c>
      <c r="E11" s="5" t="s">
        <v>11</v>
      </c>
      <c r="F11" s="5" t="s">
        <v>25</v>
      </c>
    </row>
    <row r="12" spans="1:6" ht="39.950000000000003" customHeight="1">
      <c r="A12" s="6" t="s">
        <v>26</v>
      </c>
      <c r="B12" s="8">
        <f>B9*B10*B11</f>
        <v>33.449624999999997</v>
      </c>
      <c r="C12" s="6" t="s">
        <v>27</v>
      </c>
      <c r="D12" s="6" t="s">
        <v>28</v>
      </c>
      <c r="E12" s="6" t="s">
        <v>11</v>
      </c>
      <c r="F12" s="6" t="s">
        <v>29</v>
      </c>
    </row>
    <row r="13" spans="1:6" ht="39.950000000000003" customHeight="1">
      <c r="A13" s="5" t="s">
        <v>30</v>
      </c>
      <c r="B13" s="11">
        <v>2</v>
      </c>
      <c r="C13" s="5" t="s">
        <v>31</v>
      </c>
      <c r="D13" s="5" t="s">
        <v>32</v>
      </c>
      <c r="E13" s="5" t="s">
        <v>33</v>
      </c>
      <c r="F13" s="5" t="s">
        <v>34</v>
      </c>
    </row>
    <row r="14" spans="1:6" ht="39.950000000000003" customHeight="1">
      <c r="A14" s="6" t="s">
        <v>35</v>
      </c>
      <c r="B14" s="8">
        <f>B12*B13</f>
        <v>66.899249999999995</v>
      </c>
      <c r="C14" s="6" t="s">
        <v>36</v>
      </c>
      <c r="D14" s="6" t="s">
        <v>37</v>
      </c>
      <c r="E14" s="6" t="s">
        <v>11</v>
      </c>
      <c r="F14" s="6" t="s">
        <v>38</v>
      </c>
    </row>
    <row r="15" spans="1:6" ht="39.950000000000003" customHeight="1">
      <c r="A15" s="5" t="s">
        <v>39</v>
      </c>
      <c r="B15" s="7">
        <f>ROUNDUP(B14,0)</f>
        <v>67</v>
      </c>
      <c r="C15" s="5" t="s">
        <v>36</v>
      </c>
      <c r="D15" s="5" t="s">
        <v>40</v>
      </c>
      <c r="E15" s="5" t="s">
        <v>11</v>
      </c>
      <c r="F15" s="5" t="s">
        <v>41</v>
      </c>
    </row>
    <row r="16" spans="1:6" ht="39.950000000000003" customHeight="1">
      <c r="A16" s="6" t="s">
        <v>42</v>
      </c>
      <c r="B16" s="8">
        <f>SUMIF(Esforco!B7:B31,"Base",Esforco!D7:D31)</f>
        <v>67</v>
      </c>
      <c r="C16" s="6" t="s">
        <v>36</v>
      </c>
      <c r="D16" s="6" t="s">
        <v>43</v>
      </c>
      <c r="E16" s="6" t="s">
        <v>11</v>
      </c>
      <c r="F16" s="6" t="s">
        <v>44</v>
      </c>
    </row>
    <row r="17" spans="1:6" ht="39.950000000000003" customHeight="1">
      <c r="A17" s="5" t="s">
        <v>45</v>
      </c>
      <c r="B17" s="7">
        <f>B16-B15</f>
        <v>0</v>
      </c>
      <c r="C17" s="5" t="s">
        <v>36</v>
      </c>
      <c r="D17" s="5" t="s">
        <v>46</v>
      </c>
      <c r="E17" s="5" t="s">
        <v>11</v>
      </c>
      <c r="F17" s="5" t="s">
        <v>47</v>
      </c>
    </row>
    <row r="18" spans="1:6" ht="39.950000000000003" customHeight="1">
      <c r="A18" s="6" t="s">
        <v>48</v>
      </c>
      <c r="B18" s="8">
        <f>SUMIF(Esforco!B7:B31,"Reserva",Esforco!D7:D31)</f>
        <v>9</v>
      </c>
      <c r="C18" s="6" t="s">
        <v>36</v>
      </c>
      <c r="D18" s="6" t="s">
        <v>43</v>
      </c>
      <c r="E18" s="6" t="s">
        <v>11</v>
      </c>
      <c r="F18" s="6" t="s">
        <v>49</v>
      </c>
    </row>
    <row r="19" spans="1:6" ht="39.950000000000003" customHeight="1">
      <c r="A19" s="5" t="s">
        <v>50</v>
      </c>
      <c r="B19" s="7">
        <f>B16+B18</f>
        <v>76</v>
      </c>
      <c r="C19" s="5" t="s">
        <v>36</v>
      </c>
      <c r="D19" s="5" t="s">
        <v>51</v>
      </c>
      <c r="E19" s="5" t="s">
        <v>11</v>
      </c>
      <c r="F19" s="5" t="s">
        <v>52</v>
      </c>
    </row>
    <row r="20" spans="1:6" ht="21.95" customHeight="1">
      <c r="A20" s="1"/>
      <c r="B20" s="1"/>
      <c r="C20" s="1"/>
      <c r="D20" s="1"/>
      <c r="E20" s="1"/>
      <c r="F20" s="1"/>
    </row>
    <row r="21" spans="1:6" ht="32.1" customHeight="1">
      <c r="A21" s="20" t="s">
        <v>53</v>
      </c>
      <c r="B21" s="21"/>
      <c r="C21" s="21"/>
      <c r="D21" s="21"/>
      <c r="E21" s="21"/>
      <c r="F21" s="21"/>
    </row>
    <row r="22" spans="1:6" ht="21.95" customHeight="1">
      <c r="A22" s="1"/>
      <c r="B22" s="1"/>
      <c r="C22" s="1"/>
      <c r="D22" s="1"/>
      <c r="E22" s="1"/>
      <c r="F22" s="1"/>
    </row>
    <row r="23" spans="1:6" ht="32.1" customHeight="1">
      <c r="A23" s="4" t="s">
        <v>54</v>
      </c>
      <c r="B23" s="4" t="s">
        <v>31</v>
      </c>
      <c r="C23" s="4" t="s">
        <v>55</v>
      </c>
      <c r="D23" s="4" t="s">
        <v>56</v>
      </c>
      <c r="E23" s="4" t="s">
        <v>57</v>
      </c>
      <c r="F23" s="4" t="s">
        <v>58</v>
      </c>
    </row>
    <row r="24" spans="1:6" ht="42" customHeight="1">
      <c r="A24" s="5" t="s">
        <v>59</v>
      </c>
      <c r="B24" s="5">
        <f>B13</f>
        <v>2</v>
      </c>
      <c r="C24" s="5">
        <f>ROUNDUP($B$12*B24,0)</f>
        <v>67</v>
      </c>
      <c r="D24" s="5">
        <f>B18</f>
        <v>9</v>
      </c>
      <c r="E24" s="5">
        <f>C24+D24</f>
        <v>76</v>
      </c>
      <c r="F24" s="5" t="s">
        <v>60</v>
      </c>
    </row>
    <row r="25" spans="1:6" ht="42" customHeight="1">
      <c r="A25" s="6" t="s">
        <v>61</v>
      </c>
      <c r="B25" s="12">
        <v>3</v>
      </c>
      <c r="C25" s="6">
        <f>ROUNDUP($B$12*B25,0)</f>
        <v>101</v>
      </c>
      <c r="D25" s="6">
        <f>B18</f>
        <v>9</v>
      </c>
      <c r="E25" s="6">
        <f>C25+D25</f>
        <v>110</v>
      </c>
      <c r="F25" s="6" t="s">
        <v>62</v>
      </c>
    </row>
    <row r="26" spans="1:6" ht="21.95" customHeight="1">
      <c r="A26" s="1"/>
      <c r="B26" s="1"/>
      <c r="C26" s="1"/>
      <c r="D26" s="1"/>
      <c r="E26" s="1"/>
      <c r="F26" s="1"/>
    </row>
    <row r="27" spans="1:6" ht="32.1" customHeight="1">
      <c r="A27" s="20" t="s">
        <v>63</v>
      </c>
      <c r="B27" s="21"/>
      <c r="C27" s="21"/>
      <c r="D27" s="21"/>
      <c r="E27" s="21"/>
      <c r="F27" s="21"/>
    </row>
    <row r="28" spans="1:6" ht="21.95" customHeight="1">
      <c r="A28" s="1"/>
      <c r="B28" s="1"/>
      <c r="C28" s="1"/>
      <c r="D28" s="1"/>
      <c r="E28" s="1"/>
      <c r="F28" s="1"/>
    </row>
    <row r="29" spans="1:6" ht="32.1" customHeight="1">
      <c r="A29" s="20" t="s">
        <v>64</v>
      </c>
      <c r="B29" s="21"/>
      <c r="C29" s="21"/>
      <c r="D29" s="21"/>
      <c r="E29" s="21"/>
      <c r="F29" s="21"/>
    </row>
    <row r="30" spans="1:6" ht="21.95" customHeight="1">
      <c r="A30" s="1"/>
      <c r="B30" s="1"/>
      <c r="C30" s="1"/>
      <c r="D30" s="1"/>
      <c r="E30" s="1"/>
      <c r="F30" s="1"/>
    </row>
    <row r="31" spans="1:6" ht="21.95" customHeight="1">
      <c r="A31" s="1"/>
      <c r="B31" s="1"/>
      <c r="C31" s="1"/>
      <c r="D31" s="1"/>
      <c r="E31" s="1"/>
      <c r="F31" s="1"/>
    </row>
    <row r="32" spans="1:6" ht="21.95" customHeight="1">
      <c r="A32" s="1"/>
      <c r="B32" s="1"/>
      <c r="C32" s="1"/>
      <c r="D32" s="1"/>
      <c r="E32" s="1"/>
      <c r="F32" s="1"/>
    </row>
    <row r="33" spans="1:6" ht="21.95" customHeight="1">
      <c r="A33" s="1"/>
      <c r="B33" s="1"/>
      <c r="C33" s="1"/>
      <c r="D33" s="1"/>
      <c r="E33" s="1"/>
      <c r="F33" s="1"/>
    </row>
    <row r="34" spans="1:6" ht="21.95" customHeight="1">
      <c r="A34" s="1"/>
      <c r="B34" s="1"/>
      <c r="C34" s="1"/>
      <c r="D34" s="1"/>
      <c r="E34" s="1"/>
      <c r="F34" s="1"/>
    </row>
    <row r="35" spans="1:6" ht="21.95" customHeight="1">
      <c r="A35" s="1"/>
      <c r="B35" s="1"/>
      <c r="C35" s="1"/>
      <c r="D35" s="1"/>
      <c r="E35" s="1"/>
      <c r="F35" s="1"/>
    </row>
    <row r="36" spans="1:6" ht="21.95" customHeight="1">
      <c r="A36" s="1"/>
      <c r="B36" s="1"/>
      <c r="C36" s="1"/>
      <c r="D36" s="1"/>
      <c r="E36" s="1"/>
      <c r="F36" s="1"/>
    </row>
    <row r="37" spans="1:6" ht="21.95" customHeight="1">
      <c r="A37" s="1"/>
      <c r="B37" s="1"/>
      <c r="C37" s="1"/>
      <c r="D37" s="1"/>
      <c r="E37" s="1"/>
      <c r="F37" s="1"/>
    </row>
    <row r="38" spans="1:6" ht="21.95" customHeight="1">
      <c r="A38" s="1"/>
      <c r="B38" s="1"/>
      <c r="C38" s="1"/>
      <c r="D38" s="1"/>
      <c r="E38" s="1"/>
      <c r="F38" s="1"/>
    </row>
    <row r="39" spans="1:6" ht="21.95" customHeight="1">
      <c r="A39" s="1"/>
      <c r="B39" s="1"/>
      <c r="C39" s="1"/>
      <c r="D39" s="1"/>
      <c r="E39" s="1"/>
      <c r="F39" s="1"/>
    </row>
    <row r="40" spans="1:6" ht="21.95" customHeight="1">
      <c r="A40" s="1"/>
      <c r="B40" s="1"/>
      <c r="C40" s="1"/>
      <c r="D40" s="1"/>
      <c r="E40" s="1"/>
      <c r="F40" s="1"/>
    </row>
    <row r="41" spans="1:6" ht="21.95" customHeight="1">
      <c r="A41" s="1"/>
      <c r="B41" s="1"/>
      <c r="C41" s="1"/>
      <c r="D41" s="1"/>
      <c r="E41" s="1"/>
      <c r="F41" s="1"/>
    </row>
    <row r="42" spans="1:6" ht="21.95" customHeight="1">
      <c r="A42" s="1"/>
      <c r="B42" s="1"/>
      <c r="C42" s="1"/>
      <c r="D42" s="1"/>
      <c r="E42" s="1"/>
      <c r="F42" s="1"/>
    </row>
    <row r="43" spans="1:6" ht="21.95" customHeight="1">
      <c r="A43" s="1"/>
      <c r="B43" s="1"/>
      <c r="C43" s="1"/>
      <c r="D43" s="1"/>
      <c r="E43" s="1"/>
      <c r="F43" s="1"/>
    </row>
    <row r="44" spans="1:6" ht="21.95" customHeight="1">
      <c r="A44" s="1"/>
      <c r="B44" s="1"/>
      <c r="C44" s="1"/>
      <c r="D44" s="1"/>
      <c r="E44" s="1"/>
      <c r="F44" s="1"/>
    </row>
    <row r="45" spans="1:6" ht="21.95" customHeight="1">
      <c r="A45" s="1"/>
      <c r="B45" s="1"/>
      <c r="C45" s="1"/>
      <c r="D45" s="1"/>
      <c r="E45" s="1"/>
      <c r="F45" s="1"/>
    </row>
    <row r="46" spans="1:6" ht="21.95" customHeight="1">
      <c r="A46" s="1"/>
      <c r="B46" s="1"/>
      <c r="C46" s="1"/>
      <c r="D46" s="1"/>
      <c r="E46" s="1"/>
      <c r="F46" s="1"/>
    </row>
    <row r="47" spans="1:6" ht="21.95" customHeight="1">
      <c r="A47" s="1"/>
      <c r="B47" s="1"/>
      <c r="C47" s="1"/>
      <c r="D47" s="1"/>
      <c r="E47" s="1"/>
      <c r="F47" s="1"/>
    </row>
    <row r="48" spans="1:6" ht="21.95" customHeight="1">
      <c r="A48" s="1"/>
      <c r="B48" s="1"/>
      <c r="C48" s="1"/>
      <c r="D48" s="1"/>
      <c r="E48" s="1"/>
      <c r="F48" s="1"/>
    </row>
    <row r="49" spans="1:6" ht="21.95" customHeight="1">
      <c r="A49" s="1"/>
      <c r="B49" s="1"/>
      <c r="C49" s="1"/>
      <c r="D49" s="1"/>
      <c r="E49" s="1"/>
      <c r="F49" s="1"/>
    </row>
    <row r="50" spans="1:6" ht="21.95" customHeight="1">
      <c r="A50" s="1"/>
      <c r="B50" s="1"/>
      <c r="C50" s="1"/>
      <c r="D50" s="1"/>
      <c r="E50" s="1"/>
      <c r="F50" s="1"/>
    </row>
    <row r="51" spans="1:6" ht="21.95" customHeight="1">
      <c r="A51" s="1"/>
      <c r="B51" s="1"/>
      <c r="C51" s="1"/>
      <c r="D51" s="1"/>
      <c r="E51" s="1"/>
      <c r="F51" s="1"/>
    </row>
    <row r="52" spans="1:6" ht="21.95" customHeight="1">
      <c r="A52" s="1"/>
      <c r="B52" s="1"/>
      <c r="C52" s="1"/>
      <c r="D52" s="1"/>
      <c r="E52" s="1"/>
      <c r="F52" s="1"/>
    </row>
    <row r="53" spans="1:6" ht="21.95" customHeight="1">
      <c r="A53" s="1"/>
      <c r="B53" s="1"/>
      <c r="C53" s="1"/>
      <c r="D53" s="1"/>
      <c r="E53" s="1"/>
      <c r="F53" s="1"/>
    </row>
    <row r="54" spans="1:6" ht="21.95" customHeight="1">
      <c r="A54" s="1"/>
      <c r="B54" s="1"/>
      <c r="C54" s="1"/>
      <c r="D54" s="1"/>
      <c r="E54" s="1"/>
      <c r="F54" s="1"/>
    </row>
    <row r="55" spans="1:6" ht="21.95" customHeight="1">
      <c r="A55" s="1"/>
      <c r="B55" s="1"/>
      <c r="C55" s="1"/>
      <c r="D55" s="1"/>
      <c r="E55" s="1"/>
      <c r="F55" s="1"/>
    </row>
    <row r="56" spans="1:6" ht="21.95" customHeight="1">
      <c r="A56" s="1"/>
      <c r="B56" s="1"/>
      <c r="C56" s="1"/>
      <c r="D56" s="1"/>
      <c r="E56" s="1"/>
      <c r="F56" s="1"/>
    </row>
    <row r="57" spans="1:6" ht="21.95" customHeight="1">
      <c r="A57" s="1"/>
      <c r="B57" s="1"/>
      <c r="C57" s="1"/>
      <c r="D57" s="1"/>
      <c r="E57" s="1"/>
      <c r="F57" s="1"/>
    </row>
    <row r="58" spans="1:6" ht="21.95" customHeight="1">
      <c r="A58" s="1"/>
      <c r="B58" s="1"/>
      <c r="C58" s="1"/>
      <c r="D58" s="1"/>
      <c r="E58" s="1"/>
      <c r="F58" s="1"/>
    </row>
    <row r="59" spans="1:6" ht="21.95" customHeight="1">
      <c r="A59" s="1"/>
      <c r="B59" s="1"/>
      <c r="C59" s="1"/>
      <c r="D59" s="1"/>
      <c r="E59" s="1"/>
      <c r="F59" s="1"/>
    </row>
    <row r="60" spans="1:6" ht="21.95" customHeight="1">
      <c r="A60" s="1"/>
      <c r="B60" s="1"/>
      <c r="C60" s="1"/>
      <c r="D60" s="1"/>
      <c r="E60" s="1"/>
      <c r="F60" s="1"/>
    </row>
    <row r="61" spans="1:6" ht="21.95" customHeight="1">
      <c r="A61" s="1"/>
      <c r="B61" s="1"/>
      <c r="C61" s="1"/>
      <c r="D61" s="1"/>
      <c r="E61" s="1"/>
      <c r="F61" s="1"/>
    </row>
    <row r="62" spans="1:6" ht="21.95" customHeight="1">
      <c r="A62" s="1"/>
      <c r="B62" s="1"/>
      <c r="C62" s="1"/>
      <c r="D62" s="1"/>
      <c r="E62" s="1"/>
      <c r="F62" s="1"/>
    </row>
    <row r="63" spans="1:6" ht="21.95" customHeight="1">
      <c r="A63" s="1"/>
      <c r="B63" s="1"/>
      <c r="C63" s="1"/>
      <c r="D63" s="1"/>
      <c r="E63" s="1"/>
      <c r="F63" s="1"/>
    </row>
    <row r="64" spans="1:6" ht="21.95" customHeight="1">
      <c r="A64" s="1"/>
      <c r="B64" s="1"/>
      <c r="C64" s="1"/>
      <c r="D64" s="1"/>
      <c r="E64" s="1"/>
      <c r="F64" s="1"/>
    </row>
    <row r="65" spans="1:6" ht="21.95" customHeight="1">
      <c r="A65" s="1"/>
      <c r="B65" s="1"/>
      <c r="C65" s="1"/>
      <c r="D65" s="1"/>
      <c r="E65" s="1"/>
      <c r="F65" s="1"/>
    </row>
    <row r="66" spans="1:6" ht="21.95" customHeight="1">
      <c r="A66" s="1"/>
      <c r="B66" s="1"/>
      <c r="C66" s="1"/>
      <c r="D66" s="1"/>
      <c r="E66" s="1"/>
      <c r="F66" s="1"/>
    </row>
    <row r="67" spans="1:6" ht="21.95" customHeight="1">
      <c r="A67" s="1"/>
      <c r="B67" s="1"/>
      <c r="C67" s="1"/>
      <c r="D67" s="1"/>
      <c r="E67" s="1"/>
      <c r="F67" s="1"/>
    </row>
    <row r="68" spans="1:6" ht="21.95" customHeight="1">
      <c r="A68" s="1"/>
      <c r="B68" s="1"/>
      <c r="C68" s="1"/>
      <c r="D68" s="1"/>
      <c r="E68" s="1"/>
      <c r="F68" s="1"/>
    </row>
    <row r="69" spans="1:6" ht="21.95" customHeight="1">
      <c r="A69" s="1"/>
      <c r="B69" s="1"/>
      <c r="C69" s="1"/>
      <c r="D69" s="1"/>
      <c r="E69" s="1"/>
      <c r="F69" s="1"/>
    </row>
    <row r="70" spans="1:6" ht="21.95" customHeight="1">
      <c r="A70" s="1"/>
      <c r="B70" s="1"/>
      <c r="C70" s="1"/>
      <c r="D70" s="1"/>
      <c r="E70" s="1"/>
      <c r="F70" s="1"/>
    </row>
    <row r="71" spans="1:6" ht="21.95" customHeight="1">
      <c r="A71" s="1"/>
      <c r="B71" s="1"/>
      <c r="C71" s="1"/>
      <c r="D71" s="1"/>
      <c r="E71" s="1"/>
      <c r="F71" s="1"/>
    </row>
    <row r="72" spans="1:6" ht="21.95" customHeight="1">
      <c r="A72" s="1"/>
      <c r="B72" s="1"/>
      <c r="C72" s="1"/>
      <c r="D72" s="1"/>
      <c r="E72" s="1"/>
      <c r="F72" s="1"/>
    </row>
    <row r="73" spans="1:6" ht="21.95" customHeight="1">
      <c r="A73" s="1"/>
      <c r="B73" s="1"/>
      <c r="C73" s="1"/>
      <c r="D73" s="1"/>
      <c r="E73" s="1"/>
      <c r="F73" s="1"/>
    </row>
    <row r="74" spans="1:6" ht="21.95" customHeight="1">
      <c r="A74" s="1"/>
      <c r="B74" s="1"/>
      <c r="C74" s="1"/>
      <c r="D74" s="1"/>
      <c r="E74" s="1"/>
      <c r="F74" s="1"/>
    </row>
    <row r="75" spans="1:6" ht="21.95" customHeight="1">
      <c r="A75" s="1"/>
      <c r="B75" s="1"/>
      <c r="C75" s="1"/>
      <c r="D75" s="1"/>
      <c r="E75" s="1"/>
      <c r="F75" s="1"/>
    </row>
    <row r="76" spans="1:6" ht="21.95" customHeight="1">
      <c r="A76" s="1"/>
      <c r="B76" s="1"/>
      <c r="C76" s="1"/>
      <c r="D76" s="1"/>
      <c r="E76" s="1"/>
      <c r="F76" s="1"/>
    </row>
    <row r="77" spans="1:6" ht="21.95" customHeight="1">
      <c r="A77" s="1"/>
      <c r="B77" s="1"/>
      <c r="C77" s="1"/>
      <c r="D77" s="1"/>
      <c r="E77" s="1"/>
      <c r="F77" s="1"/>
    </row>
    <row r="78" spans="1:6" ht="21.95" customHeight="1">
      <c r="A78" s="1"/>
      <c r="B78" s="1"/>
      <c r="C78" s="1"/>
      <c r="D78" s="1"/>
      <c r="E78" s="1"/>
      <c r="F78" s="1"/>
    </row>
    <row r="79" spans="1:6" ht="21.95" customHeight="1">
      <c r="A79" s="1"/>
      <c r="B79" s="1"/>
      <c r="C79" s="1"/>
      <c r="D79" s="1"/>
      <c r="E79" s="1"/>
      <c r="F79" s="1"/>
    </row>
    <row r="80" spans="1:6" ht="21.95" customHeight="1">
      <c r="A80" s="1"/>
      <c r="B80" s="1"/>
      <c r="C80" s="1"/>
      <c r="D80" s="1"/>
      <c r="E80" s="1"/>
      <c r="F80" s="1"/>
    </row>
    <row r="81" spans="1:6" ht="21.95" customHeight="1">
      <c r="A81" s="1"/>
      <c r="B81" s="1"/>
      <c r="C81" s="1"/>
      <c r="D81" s="1"/>
      <c r="E81" s="1"/>
      <c r="F81" s="1"/>
    </row>
    <row r="82" spans="1:6" ht="21.95" customHeight="1">
      <c r="A82" s="1"/>
      <c r="B82" s="1"/>
      <c r="C82" s="1"/>
      <c r="D82" s="1"/>
      <c r="E82" s="1"/>
      <c r="F82" s="1"/>
    </row>
    <row r="83" spans="1:6" ht="21.95" customHeight="1">
      <c r="A83" s="1"/>
      <c r="B83" s="1"/>
      <c r="C83" s="1"/>
      <c r="D83" s="1"/>
      <c r="E83" s="1"/>
      <c r="F83" s="1"/>
    </row>
    <row r="84" spans="1:6" ht="21.95" customHeight="1">
      <c r="A84" s="1"/>
      <c r="B84" s="1"/>
      <c r="C84" s="1"/>
      <c r="D84" s="1"/>
      <c r="E84" s="1"/>
      <c r="F84" s="1"/>
    </row>
    <row r="85" spans="1:6" ht="21.95" customHeight="1">
      <c r="A85" s="1"/>
      <c r="B85" s="1"/>
      <c r="C85" s="1"/>
      <c r="D85" s="1"/>
      <c r="E85" s="1"/>
      <c r="F85" s="1"/>
    </row>
    <row r="86" spans="1:6" ht="21.95" customHeight="1">
      <c r="A86" s="1"/>
      <c r="B86" s="1"/>
      <c r="C86" s="1"/>
      <c r="D86" s="1"/>
      <c r="E86" s="1"/>
      <c r="F86" s="1"/>
    </row>
    <row r="87" spans="1:6" ht="21.95" customHeight="1">
      <c r="A87" s="1"/>
      <c r="B87" s="1"/>
      <c r="C87" s="1"/>
      <c r="D87" s="1"/>
      <c r="E87" s="1"/>
      <c r="F87" s="1"/>
    </row>
    <row r="88" spans="1:6" ht="21.95" customHeight="1">
      <c r="A88" s="1"/>
      <c r="B88" s="1"/>
      <c r="C88" s="1"/>
      <c r="D88" s="1"/>
      <c r="E88" s="1"/>
      <c r="F88" s="1"/>
    </row>
    <row r="89" spans="1:6" ht="21.95" customHeight="1">
      <c r="A89" s="1"/>
      <c r="B89" s="1"/>
      <c r="C89" s="1"/>
      <c r="D89" s="1"/>
      <c r="E89" s="1"/>
      <c r="F89" s="1"/>
    </row>
    <row r="90" spans="1:6" ht="21.95" customHeight="1">
      <c r="A90" s="1"/>
      <c r="B90" s="1"/>
      <c r="C90" s="1"/>
      <c r="D90" s="1"/>
      <c r="E90" s="1"/>
      <c r="F90" s="1"/>
    </row>
    <row r="91" spans="1:6" ht="21.95" customHeight="1">
      <c r="A91" s="1"/>
      <c r="B91" s="1"/>
      <c r="C91" s="1"/>
      <c r="D91" s="1"/>
      <c r="E91" s="1"/>
      <c r="F91" s="1"/>
    </row>
    <row r="92" spans="1:6" ht="21.95" customHeight="1">
      <c r="A92" s="1"/>
      <c r="B92" s="1"/>
      <c r="C92" s="1"/>
      <c r="D92" s="1"/>
      <c r="E92" s="1"/>
      <c r="F92" s="1"/>
    </row>
    <row r="93" spans="1:6" ht="21.95" customHeight="1">
      <c r="A93" s="1"/>
      <c r="B93" s="1"/>
      <c r="C93" s="1"/>
      <c r="D93" s="1"/>
      <c r="E93" s="1"/>
      <c r="F93" s="1"/>
    </row>
    <row r="94" spans="1:6" ht="21.95" customHeight="1">
      <c r="A94" s="1"/>
      <c r="B94" s="1"/>
      <c r="C94" s="1"/>
      <c r="D94" s="1"/>
      <c r="E94" s="1"/>
      <c r="F94" s="1"/>
    </row>
    <row r="95" spans="1:6" ht="21.95" customHeight="1">
      <c r="A95" s="1"/>
      <c r="B95" s="1"/>
      <c r="C95" s="1"/>
      <c r="D95" s="1"/>
      <c r="E95" s="1"/>
      <c r="F95" s="1"/>
    </row>
    <row r="96" spans="1:6" ht="21.95" customHeight="1">
      <c r="A96" s="1"/>
      <c r="B96" s="1"/>
      <c r="C96" s="1"/>
      <c r="D96" s="1"/>
      <c r="E96" s="1"/>
      <c r="F96" s="1"/>
    </row>
    <row r="97" spans="1:6" ht="21.95" customHeight="1">
      <c r="A97" s="1"/>
      <c r="B97" s="1"/>
      <c r="C97" s="1"/>
      <c r="D97" s="1"/>
      <c r="E97" s="1"/>
      <c r="F97" s="1"/>
    </row>
    <row r="98" spans="1:6" ht="21.95" customHeight="1">
      <c r="A98" s="1"/>
      <c r="B98" s="1"/>
      <c r="C98" s="1"/>
      <c r="D98" s="1"/>
      <c r="E98" s="1"/>
      <c r="F98" s="1"/>
    </row>
    <row r="99" spans="1:6" ht="21.95" customHeight="1">
      <c r="A99" s="1"/>
      <c r="B99" s="1"/>
      <c r="C99" s="1"/>
      <c r="D99" s="1"/>
      <c r="E99" s="1"/>
      <c r="F99" s="1"/>
    </row>
    <row r="100" spans="1:6" ht="21.95" customHeight="1">
      <c r="A100" s="1"/>
      <c r="B100" s="1"/>
      <c r="C100" s="1"/>
      <c r="D100" s="1"/>
      <c r="E100" s="1"/>
      <c r="F100" s="1"/>
    </row>
  </sheetData>
  <mergeCells count="4">
    <mergeCell ref="A21:F21"/>
    <mergeCell ref="A29:F29"/>
    <mergeCell ref="A4:F4"/>
    <mergeCell ref="A27:F27"/>
  </mergeCells>
  <conditionalFormatting sqref="B17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showGridLines="0" workbookViewId="0">
      <pane ySplit="11" topLeftCell="A12" activePane="bottomLeft" state="frozen"/>
      <selection pane="bottomLeft"/>
    </sheetView>
  </sheetViews>
  <sheetFormatPr defaultRowHeight="14.25"/>
  <cols>
    <col min="1" max="2" width="12" customWidth="1"/>
    <col min="3" max="3" width="31" customWidth="1"/>
    <col min="4" max="4" width="15" customWidth="1"/>
    <col min="5" max="5" width="16" customWidth="1"/>
    <col min="6" max="6" width="13" customWidth="1"/>
    <col min="7" max="7" width="12" customWidth="1"/>
    <col min="8" max="8" width="65" customWidth="1"/>
  </cols>
  <sheetData>
    <row r="1" spans="1:8" ht="21.95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2" t="s">
        <v>65</v>
      </c>
      <c r="B2" s="1"/>
      <c r="C2" s="1"/>
      <c r="D2" s="1"/>
      <c r="E2" s="1"/>
      <c r="F2" s="1"/>
      <c r="G2" s="1"/>
      <c r="H2" s="1"/>
    </row>
    <row r="3" spans="1:8" ht="21.95" customHeight="1">
      <c r="A3" s="1"/>
      <c r="B3" s="1"/>
      <c r="C3" s="1"/>
      <c r="D3" s="1"/>
      <c r="E3" s="1"/>
      <c r="F3" s="1"/>
      <c r="G3" s="1"/>
      <c r="H3" s="1"/>
    </row>
    <row r="4" spans="1:8" ht="32.1" customHeight="1">
      <c r="A4" s="20" t="s">
        <v>66</v>
      </c>
      <c r="B4" s="21"/>
      <c r="C4" s="21"/>
      <c r="D4" s="21"/>
      <c r="E4" s="21"/>
      <c r="F4" s="21"/>
      <c r="G4" s="21"/>
      <c r="H4" s="21"/>
    </row>
    <row r="5" spans="1:8" ht="21.95" customHeight="1">
      <c r="A5" s="1"/>
      <c r="B5" s="1"/>
      <c r="C5" s="1"/>
      <c r="D5" s="1"/>
      <c r="E5" s="1"/>
      <c r="F5" s="1"/>
      <c r="G5" s="1"/>
      <c r="H5" s="1"/>
    </row>
    <row r="6" spans="1:8" ht="32.1" customHeight="1">
      <c r="A6" s="4" t="s">
        <v>67</v>
      </c>
      <c r="B6" s="4" t="s">
        <v>68</v>
      </c>
      <c r="C6" s="4" t="s">
        <v>69</v>
      </c>
      <c r="D6" s="4" t="s">
        <v>70</v>
      </c>
      <c r="E6" s="1"/>
      <c r="F6" s="1"/>
      <c r="G6" s="1"/>
      <c r="H6" s="1"/>
    </row>
    <row r="7" spans="1:8" ht="30" customHeight="1">
      <c r="A7" s="5" t="s">
        <v>71</v>
      </c>
      <c r="B7" s="5" t="s">
        <v>72</v>
      </c>
      <c r="C7" s="5">
        <v>1</v>
      </c>
      <c r="D7" s="5">
        <v>3</v>
      </c>
      <c r="E7" s="1"/>
      <c r="F7" s="1"/>
      <c r="G7" s="1"/>
      <c r="H7" s="1"/>
    </row>
    <row r="8" spans="1:8" ht="21.95" customHeight="1">
      <c r="A8" s="1"/>
      <c r="B8" s="1"/>
      <c r="C8" s="1"/>
      <c r="D8" s="1"/>
      <c r="E8" s="1"/>
      <c r="F8" s="1"/>
      <c r="G8" s="1"/>
      <c r="H8" s="1"/>
    </row>
    <row r="9" spans="1:8" ht="21.95" customHeight="1">
      <c r="A9" s="1"/>
      <c r="B9" s="1"/>
      <c r="C9" s="1"/>
      <c r="D9" s="1"/>
      <c r="E9" s="1"/>
      <c r="F9" s="1"/>
      <c r="G9" s="1"/>
      <c r="H9" s="1"/>
    </row>
    <row r="10" spans="1:8" ht="21.95" customHeight="1">
      <c r="A10" s="1"/>
      <c r="B10" s="1"/>
      <c r="C10" s="1"/>
      <c r="D10" s="1"/>
      <c r="E10" s="1"/>
      <c r="F10" s="1"/>
      <c r="G10" s="1"/>
      <c r="H10" s="1"/>
    </row>
    <row r="11" spans="1:8" ht="32.1" customHeight="1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</row>
    <row r="12" spans="1:8" ht="66" customHeight="1">
      <c r="A12" s="5" t="s">
        <v>81</v>
      </c>
      <c r="B12" s="5" t="s">
        <v>82</v>
      </c>
      <c r="C12" s="5" t="s">
        <v>83</v>
      </c>
      <c r="D12" s="12">
        <v>4</v>
      </c>
      <c r="E12" s="5" t="str">
        <f t="shared" ref="E12:E17" si="0">IF(D12&lt;=3,"Simples",IF(D12&lt;=7,"Médio","Complexo"))</f>
        <v>Médio</v>
      </c>
      <c r="F12" s="5">
        <f t="shared" ref="F12:F17" si="1">IF(D12&lt;=3,5,IF(D12&lt;=7,10,15))</f>
        <v>10</v>
      </c>
      <c r="G12" s="5" t="s">
        <v>84</v>
      </c>
      <c r="H12" s="5" t="s">
        <v>85</v>
      </c>
    </row>
    <row r="13" spans="1:8" ht="66" customHeight="1">
      <c r="A13" s="6" t="s">
        <v>86</v>
      </c>
      <c r="B13" s="6" t="s">
        <v>87</v>
      </c>
      <c r="C13" s="6" t="s">
        <v>88</v>
      </c>
      <c r="D13" s="12">
        <v>4</v>
      </c>
      <c r="E13" s="6" t="str">
        <f t="shared" si="0"/>
        <v>Médio</v>
      </c>
      <c r="F13" s="6">
        <f t="shared" si="1"/>
        <v>10</v>
      </c>
      <c r="G13" s="6" t="s">
        <v>84</v>
      </c>
      <c r="H13" s="6" t="s">
        <v>89</v>
      </c>
    </row>
    <row r="14" spans="1:8" ht="66" customHeight="1">
      <c r="A14" s="5" t="s">
        <v>90</v>
      </c>
      <c r="B14" s="5" t="s">
        <v>91</v>
      </c>
      <c r="C14" s="5" t="s">
        <v>92</v>
      </c>
      <c r="D14" s="12">
        <v>4</v>
      </c>
      <c r="E14" s="5" t="str">
        <f t="shared" si="0"/>
        <v>Médio</v>
      </c>
      <c r="F14" s="5">
        <f t="shared" si="1"/>
        <v>10</v>
      </c>
      <c r="G14" s="5" t="s">
        <v>93</v>
      </c>
      <c r="H14" s="5" t="s">
        <v>94</v>
      </c>
    </row>
    <row r="15" spans="1:8" ht="66" customHeight="1">
      <c r="A15" s="6" t="s">
        <v>95</v>
      </c>
      <c r="B15" s="6" t="s">
        <v>96</v>
      </c>
      <c r="C15" s="6" t="s">
        <v>97</v>
      </c>
      <c r="D15" s="12">
        <v>5</v>
      </c>
      <c r="E15" s="6" t="str">
        <f t="shared" si="0"/>
        <v>Médio</v>
      </c>
      <c r="F15" s="6">
        <f t="shared" si="1"/>
        <v>10</v>
      </c>
      <c r="G15" s="6" t="s">
        <v>93</v>
      </c>
      <c r="H15" s="6" t="s">
        <v>98</v>
      </c>
    </row>
    <row r="16" spans="1:8" ht="66" customHeight="1">
      <c r="A16" s="5" t="s">
        <v>99</v>
      </c>
      <c r="B16" s="5" t="s">
        <v>100</v>
      </c>
      <c r="C16" s="5" t="s">
        <v>101</v>
      </c>
      <c r="D16" s="12">
        <v>2</v>
      </c>
      <c r="E16" s="5" t="str">
        <f t="shared" si="0"/>
        <v>Simples</v>
      </c>
      <c r="F16" s="5">
        <f t="shared" si="1"/>
        <v>5</v>
      </c>
      <c r="G16" s="5" t="s">
        <v>102</v>
      </c>
      <c r="H16" s="5" t="s">
        <v>103</v>
      </c>
    </row>
    <row r="17" spans="1:8" ht="66" customHeight="1">
      <c r="A17" s="6" t="s">
        <v>104</v>
      </c>
      <c r="B17" s="6" t="s">
        <v>105</v>
      </c>
      <c r="C17" s="6" t="s">
        <v>106</v>
      </c>
      <c r="D17" s="12">
        <v>2</v>
      </c>
      <c r="E17" s="6" t="str">
        <f t="shared" si="0"/>
        <v>Simples</v>
      </c>
      <c r="F17" s="6">
        <f t="shared" si="1"/>
        <v>5</v>
      </c>
      <c r="G17" s="6" t="s">
        <v>107</v>
      </c>
      <c r="H17" s="6" t="s">
        <v>108</v>
      </c>
    </row>
    <row r="18" spans="1:8" ht="21.95" customHeight="1">
      <c r="A18" s="1"/>
      <c r="B18" s="1"/>
      <c r="C18" s="1"/>
      <c r="D18" s="1"/>
      <c r="E18" s="1"/>
      <c r="F18" s="1"/>
      <c r="G18" s="1"/>
      <c r="H18" s="1"/>
    </row>
    <row r="19" spans="1:8" ht="21.95" customHeight="1">
      <c r="A19" s="1"/>
      <c r="B19" s="1"/>
      <c r="C19" s="1"/>
      <c r="D19" s="1"/>
      <c r="E19" s="1"/>
      <c r="F19" s="1"/>
      <c r="G19" s="1"/>
      <c r="H19" s="1"/>
    </row>
    <row r="20" spans="1:8" ht="48" customHeight="1">
      <c r="A20" s="20" t="s">
        <v>109</v>
      </c>
      <c r="B20" s="21"/>
      <c r="C20" s="21"/>
      <c r="D20" s="21"/>
      <c r="E20" s="21"/>
      <c r="F20" s="21"/>
      <c r="G20" s="21"/>
      <c r="H20" s="21"/>
    </row>
    <row r="21" spans="1:8" ht="21.95" customHeight="1">
      <c r="A21" s="1"/>
      <c r="B21" s="1"/>
      <c r="C21" s="1"/>
      <c r="D21" s="1"/>
      <c r="E21" s="1"/>
      <c r="F21" s="1"/>
      <c r="G21" s="1"/>
      <c r="H21" s="1"/>
    </row>
    <row r="22" spans="1:8" ht="32.1" customHeight="1">
      <c r="A22" s="20" t="s">
        <v>110</v>
      </c>
      <c r="B22" s="21"/>
      <c r="C22" s="21"/>
      <c r="D22" s="21"/>
      <c r="E22" s="21"/>
      <c r="F22" s="21"/>
      <c r="G22" s="21"/>
      <c r="H22" s="21"/>
    </row>
    <row r="23" spans="1:8" ht="21.95" customHeight="1">
      <c r="A23" s="1"/>
      <c r="B23" s="1"/>
      <c r="C23" s="1"/>
      <c r="D23" s="1"/>
      <c r="E23" s="1"/>
      <c r="F23" s="1"/>
      <c r="G23" s="1"/>
      <c r="H23" s="1"/>
    </row>
    <row r="24" spans="1:8" ht="32.1" customHeight="1">
      <c r="A24" s="20" t="s">
        <v>111</v>
      </c>
      <c r="B24" s="21"/>
      <c r="C24" s="21"/>
      <c r="D24" s="21"/>
      <c r="E24" s="21"/>
      <c r="F24" s="21"/>
      <c r="G24" s="21"/>
      <c r="H24" s="21"/>
    </row>
    <row r="25" spans="1:8" ht="21.95" customHeight="1">
      <c r="A25" s="1"/>
      <c r="B25" s="1"/>
      <c r="C25" s="1"/>
      <c r="D25" s="1"/>
      <c r="E25" s="1"/>
      <c r="F25" s="1"/>
      <c r="G25" s="1"/>
      <c r="H25" s="1"/>
    </row>
    <row r="26" spans="1:8" ht="21.95" customHeight="1">
      <c r="A26" s="1"/>
      <c r="B26" s="1"/>
      <c r="C26" s="1"/>
      <c r="D26" s="1"/>
      <c r="E26" s="1"/>
      <c r="F26" s="1"/>
      <c r="G26" s="1"/>
      <c r="H26" s="1"/>
    </row>
    <row r="27" spans="1:8" ht="21.95" customHeight="1">
      <c r="A27" s="1"/>
      <c r="B27" s="1"/>
      <c r="C27" s="1"/>
      <c r="D27" s="1"/>
      <c r="E27" s="1"/>
      <c r="F27" s="1"/>
      <c r="G27" s="1"/>
      <c r="H27" s="1"/>
    </row>
    <row r="28" spans="1:8" ht="21.95" customHeight="1">
      <c r="A28" s="1"/>
      <c r="B28" s="1"/>
      <c r="C28" s="1"/>
      <c r="D28" s="1"/>
      <c r="E28" s="1"/>
      <c r="F28" s="1"/>
      <c r="G28" s="1"/>
      <c r="H28" s="1"/>
    </row>
    <row r="29" spans="1:8" ht="21.95" customHeight="1">
      <c r="A29" s="1"/>
      <c r="B29" s="1"/>
      <c r="C29" s="1"/>
      <c r="D29" s="1"/>
      <c r="E29" s="1"/>
      <c r="F29" s="1"/>
      <c r="G29" s="1"/>
      <c r="H29" s="1"/>
    </row>
    <row r="30" spans="1:8" ht="21.95" customHeight="1">
      <c r="A30" s="1"/>
      <c r="B30" s="1"/>
      <c r="C30" s="1"/>
      <c r="D30" s="1"/>
      <c r="E30" s="1"/>
      <c r="F30" s="1"/>
      <c r="G30" s="1"/>
      <c r="H30" s="1"/>
    </row>
    <row r="31" spans="1:8" ht="21.95" customHeight="1">
      <c r="A31" s="1"/>
      <c r="B31" s="1"/>
      <c r="C31" s="1"/>
      <c r="D31" s="1"/>
      <c r="E31" s="1"/>
      <c r="F31" s="1"/>
      <c r="G31" s="1"/>
      <c r="H31" s="1"/>
    </row>
    <row r="32" spans="1:8" ht="21.95" customHeight="1">
      <c r="A32" s="1"/>
      <c r="B32" s="1"/>
      <c r="C32" s="1"/>
      <c r="D32" s="1"/>
      <c r="E32" s="1"/>
      <c r="F32" s="1"/>
      <c r="G32" s="1"/>
      <c r="H32" s="1"/>
    </row>
    <row r="33" spans="1:8" ht="21.95" customHeight="1">
      <c r="A33" s="1"/>
      <c r="B33" s="1"/>
      <c r="C33" s="1"/>
      <c r="D33" s="1"/>
      <c r="E33" s="1"/>
      <c r="F33" s="1"/>
      <c r="G33" s="1"/>
      <c r="H33" s="1"/>
    </row>
    <row r="34" spans="1:8" ht="21.95" customHeight="1">
      <c r="A34" s="1"/>
      <c r="B34" s="1"/>
      <c r="C34" s="1"/>
      <c r="D34" s="1"/>
      <c r="E34" s="1"/>
      <c r="F34" s="1"/>
      <c r="G34" s="1"/>
      <c r="H34" s="1"/>
    </row>
    <row r="35" spans="1:8" ht="21.95" customHeight="1">
      <c r="A35" s="1"/>
      <c r="B35" s="1"/>
      <c r="C35" s="1"/>
      <c r="D35" s="1"/>
      <c r="E35" s="1"/>
      <c r="F35" s="1"/>
      <c r="G35" s="1"/>
      <c r="H35" s="1"/>
    </row>
    <row r="36" spans="1:8" ht="21.95" customHeight="1">
      <c r="A36" s="1"/>
      <c r="B36" s="1"/>
      <c r="C36" s="1"/>
      <c r="D36" s="1"/>
      <c r="E36" s="1"/>
      <c r="F36" s="1"/>
      <c r="G36" s="1"/>
      <c r="H36" s="1"/>
    </row>
    <row r="37" spans="1:8" ht="21.95" customHeight="1">
      <c r="A37" s="1"/>
      <c r="B37" s="1"/>
      <c r="C37" s="1"/>
      <c r="D37" s="1"/>
      <c r="E37" s="1"/>
      <c r="F37" s="1"/>
      <c r="G37" s="1"/>
      <c r="H37" s="1"/>
    </row>
    <row r="38" spans="1:8" ht="21.95" customHeight="1">
      <c r="A38" s="1"/>
      <c r="B38" s="1"/>
      <c r="C38" s="1"/>
      <c r="D38" s="1"/>
      <c r="E38" s="1"/>
      <c r="F38" s="1"/>
      <c r="G38" s="1"/>
      <c r="H38" s="1"/>
    </row>
    <row r="39" spans="1:8" ht="21.95" customHeight="1">
      <c r="A39" s="1"/>
      <c r="B39" s="1"/>
      <c r="C39" s="1"/>
      <c r="D39" s="1"/>
      <c r="E39" s="1"/>
      <c r="F39" s="1"/>
      <c r="G39" s="1"/>
      <c r="H39" s="1"/>
    </row>
    <row r="40" spans="1:8" ht="21.95" customHeight="1">
      <c r="A40" s="1"/>
      <c r="B40" s="1"/>
      <c r="C40" s="1"/>
      <c r="D40" s="1"/>
      <c r="E40" s="1"/>
      <c r="F40" s="1"/>
      <c r="G40" s="1"/>
      <c r="H40" s="1"/>
    </row>
    <row r="41" spans="1:8" ht="21.95" customHeight="1">
      <c r="A41" s="1"/>
      <c r="B41" s="1"/>
      <c r="C41" s="1"/>
      <c r="D41" s="1"/>
      <c r="E41" s="1"/>
      <c r="F41" s="1"/>
      <c r="G41" s="1"/>
      <c r="H41" s="1"/>
    </row>
    <row r="42" spans="1:8" ht="21.95" customHeight="1">
      <c r="A42" s="1"/>
      <c r="B42" s="1"/>
      <c r="C42" s="1"/>
      <c r="D42" s="1"/>
      <c r="E42" s="1"/>
      <c r="F42" s="1"/>
      <c r="G42" s="1"/>
      <c r="H42" s="1"/>
    </row>
    <row r="43" spans="1:8" ht="21.95" customHeight="1">
      <c r="A43" s="1"/>
      <c r="B43" s="1"/>
      <c r="C43" s="1"/>
      <c r="D43" s="1"/>
      <c r="E43" s="1"/>
      <c r="F43" s="1"/>
      <c r="G43" s="1"/>
      <c r="H43" s="1"/>
    </row>
    <row r="44" spans="1:8" ht="21.95" customHeight="1">
      <c r="A44" s="1"/>
      <c r="B44" s="1"/>
      <c r="C44" s="1"/>
      <c r="D44" s="1"/>
      <c r="E44" s="1"/>
      <c r="F44" s="1"/>
      <c r="G44" s="1"/>
      <c r="H44" s="1"/>
    </row>
    <row r="45" spans="1:8" ht="21.95" customHeight="1">
      <c r="A45" s="1"/>
      <c r="B45" s="1"/>
      <c r="C45" s="1"/>
      <c r="D45" s="1"/>
      <c r="E45" s="1"/>
      <c r="F45" s="1"/>
      <c r="G45" s="1"/>
      <c r="H45" s="1"/>
    </row>
    <row r="46" spans="1:8" ht="21.95" customHeight="1">
      <c r="A46" s="1"/>
      <c r="B46" s="1"/>
      <c r="C46" s="1"/>
      <c r="D46" s="1"/>
      <c r="E46" s="1"/>
      <c r="F46" s="1"/>
      <c r="G46" s="1"/>
      <c r="H46" s="1"/>
    </row>
    <row r="47" spans="1:8" ht="21.95" customHeight="1">
      <c r="A47" s="1"/>
      <c r="B47" s="1"/>
      <c r="C47" s="1"/>
      <c r="D47" s="1"/>
      <c r="E47" s="1"/>
      <c r="F47" s="1"/>
      <c r="G47" s="1"/>
      <c r="H47" s="1"/>
    </row>
    <row r="48" spans="1:8" ht="21.95" customHeight="1">
      <c r="A48" s="1"/>
      <c r="B48" s="1"/>
      <c r="C48" s="1"/>
      <c r="D48" s="1"/>
      <c r="E48" s="1"/>
      <c r="F48" s="1"/>
      <c r="G48" s="1"/>
      <c r="H48" s="1"/>
    </row>
    <row r="49" spans="1:8" ht="21.95" customHeight="1">
      <c r="A49" s="1"/>
      <c r="B49" s="1"/>
      <c r="C49" s="1"/>
      <c r="D49" s="1"/>
      <c r="E49" s="1"/>
      <c r="F49" s="1"/>
      <c r="G49" s="1"/>
      <c r="H49" s="1"/>
    </row>
    <row r="50" spans="1:8" ht="21.95" customHeight="1">
      <c r="A50" s="1"/>
      <c r="B50" s="1"/>
      <c r="C50" s="1"/>
      <c r="D50" s="1"/>
      <c r="E50" s="1"/>
      <c r="F50" s="1"/>
      <c r="G50" s="1"/>
      <c r="H50" s="1"/>
    </row>
    <row r="51" spans="1:8" ht="21.95" customHeight="1">
      <c r="A51" s="1"/>
      <c r="B51" s="1"/>
      <c r="C51" s="1"/>
      <c r="D51" s="1"/>
      <c r="E51" s="1"/>
      <c r="F51" s="1"/>
      <c r="G51" s="1"/>
      <c r="H51" s="1"/>
    </row>
    <row r="52" spans="1:8" ht="21.95" customHeight="1">
      <c r="A52" s="1"/>
      <c r="B52" s="1"/>
      <c r="C52" s="1"/>
      <c r="D52" s="1"/>
      <c r="E52" s="1"/>
      <c r="F52" s="1"/>
      <c r="G52" s="1"/>
      <c r="H52" s="1"/>
    </row>
    <row r="53" spans="1:8" ht="21.95" customHeight="1">
      <c r="A53" s="1"/>
      <c r="B53" s="1"/>
      <c r="C53" s="1"/>
      <c r="D53" s="1"/>
      <c r="E53" s="1"/>
      <c r="F53" s="1"/>
      <c r="G53" s="1"/>
      <c r="H53" s="1"/>
    </row>
    <row r="54" spans="1:8" ht="21.95" customHeight="1">
      <c r="A54" s="1"/>
      <c r="B54" s="1"/>
      <c r="C54" s="1"/>
      <c r="D54" s="1"/>
      <c r="E54" s="1"/>
      <c r="F54" s="1"/>
      <c r="G54" s="1"/>
      <c r="H54" s="1"/>
    </row>
    <row r="55" spans="1:8" ht="21.95" customHeight="1">
      <c r="A55" s="1"/>
      <c r="B55" s="1"/>
      <c r="C55" s="1"/>
      <c r="D55" s="1"/>
      <c r="E55" s="1"/>
      <c r="F55" s="1"/>
      <c r="G55" s="1"/>
      <c r="H55" s="1"/>
    </row>
    <row r="56" spans="1:8" ht="21.95" customHeight="1">
      <c r="A56" s="1"/>
      <c r="B56" s="1"/>
      <c r="C56" s="1"/>
      <c r="D56" s="1"/>
      <c r="E56" s="1"/>
      <c r="F56" s="1"/>
      <c r="G56" s="1"/>
      <c r="H56" s="1"/>
    </row>
    <row r="57" spans="1:8" ht="21.95" customHeight="1">
      <c r="A57" s="1"/>
      <c r="B57" s="1"/>
      <c r="C57" s="1"/>
      <c r="D57" s="1"/>
      <c r="E57" s="1"/>
      <c r="F57" s="1"/>
      <c r="G57" s="1"/>
      <c r="H57" s="1"/>
    </row>
    <row r="58" spans="1:8" ht="21.95" customHeight="1">
      <c r="A58" s="1"/>
      <c r="B58" s="1"/>
      <c r="C58" s="1"/>
      <c r="D58" s="1"/>
      <c r="E58" s="1"/>
      <c r="F58" s="1"/>
      <c r="G58" s="1"/>
      <c r="H58" s="1"/>
    </row>
    <row r="59" spans="1:8" ht="21.95" customHeight="1">
      <c r="A59" s="1"/>
      <c r="B59" s="1"/>
      <c r="C59" s="1"/>
      <c r="D59" s="1"/>
      <c r="E59" s="1"/>
      <c r="F59" s="1"/>
      <c r="G59" s="1"/>
      <c r="H59" s="1"/>
    </row>
    <row r="60" spans="1:8" ht="21.95" customHeight="1">
      <c r="A60" s="1"/>
      <c r="B60" s="1"/>
      <c r="C60" s="1"/>
      <c r="D60" s="1"/>
      <c r="E60" s="1"/>
      <c r="F60" s="1"/>
      <c r="G60" s="1"/>
      <c r="H60" s="1"/>
    </row>
    <row r="61" spans="1:8" ht="21.95" customHeight="1">
      <c r="A61" s="1"/>
      <c r="B61" s="1"/>
      <c r="C61" s="1"/>
      <c r="D61" s="1"/>
      <c r="E61" s="1"/>
      <c r="F61" s="1"/>
      <c r="G61" s="1"/>
      <c r="H61" s="1"/>
    </row>
    <row r="62" spans="1:8" ht="21.95" customHeight="1">
      <c r="A62" s="1"/>
      <c r="B62" s="1"/>
      <c r="C62" s="1"/>
      <c r="D62" s="1"/>
      <c r="E62" s="1"/>
      <c r="F62" s="1"/>
      <c r="G62" s="1"/>
      <c r="H62" s="1"/>
    </row>
    <row r="63" spans="1:8" ht="21.95" customHeight="1">
      <c r="A63" s="1"/>
      <c r="B63" s="1"/>
      <c r="C63" s="1"/>
      <c r="D63" s="1"/>
      <c r="E63" s="1"/>
      <c r="F63" s="1"/>
      <c r="G63" s="1"/>
      <c r="H63" s="1"/>
    </row>
    <row r="64" spans="1:8" ht="21.95" customHeight="1">
      <c r="A64" s="1"/>
      <c r="B64" s="1"/>
      <c r="C64" s="1"/>
      <c r="D64" s="1"/>
      <c r="E64" s="1"/>
      <c r="F64" s="1"/>
      <c r="G64" s="1"/>
      <c r="H64" s="1"/>
    </row>
    <row r="65" spans="1:8" ht="21.95" customHeight="1">
      <c r="A65" s="1"/>
      <c r="B65" s="1"/>
      <c r="C65" s="1"/>
      <c r="D65" s="1"/>
      <c r="E65" s="1"/>
      <c r="F65" s="1"/>
      <c r="G65" s="1"/>
      <c r="H65" s="1"/>
    </row>
    <row r="66" spans="1:8" ht="21.95" customHeight="1">
      <c r="A66" s="1"/>
      <c r="B66" s="1"/>
      <c r="C66" s="1"/>
      <c r="D66" s="1"/>
      <c r="E66" s="1"/>
      <c r="F66" s="1"/>
      <c r="G66" s="1"/>
      <c r="H66" s="1"/>
    </row>
    <row r="67" spans="1:8" ht="21.95" customHeight="1">
      <c r="A67" s="1"/>
      <c r="B67" s="1"/>
      <c r="C67" s="1"/>
      <c r="D67" s="1"/>
      <c r="E67" s="1"/>
      <c r="F67" s="1"/>
      <c r="G67" s="1"/>
      <c r="H67" s="1"/>
    </row>
    <row r="68" spans="1:8" ht="21.95" customHeight="1">
      <c r="A68" s="1"/>
      <c r="B68" s="1"/>
      <c r="C68" s="1"/>
      <c r="D68" s="1"/>
      <c r="E68" s="1"/>
      <c r="F68" s="1"/>
      <c r="G68" s="1"/>
      <c r="H68" s="1"/>
    </row>
    <row r="69" spans="1:8" ht="21.95" customHeight="1">
      <c r="A69" s="1"/>
      <c r="B69" s="1"/>
      <c r="C69" s="1"/>
      <c r="D69" s="1"/>
      <c r="E69" s="1"/>
      <c r="F69" s="1"/>
      <c r="G69" s="1"/>
      <c r="H69" s="1"/>
    </row>
    <row r="70" spans="1:8" ht="21.95" customHeight="1">
      <c r="A70" s="1"/>
      <c r="B70" s="1"/>
      <c r="C70" s="1"/>
      <c r="D70" s="1"/>
      <c r="E70" s="1"/>
      <c r="F70" s="1"/>
      <c r="G70" s="1"/>
      <c r="H70" s="1"/>
    </row>
    <row r="71" spans="1:8" ht="21.95" customHeight="1">
      <c r="A71" s="1"/>
      <c r="B71" s="1"/>
      <c r="C71" s="1"/>
      <c r="D71" s="1"/>
      <c r="E71" s="1"/>
      <c r="F71" s="1"/>
      <c r="G71" s="1"/>
      <c r="H71" s="1"/>
    </row>
    <row r="72" spans="1:8" ht="21.95" customHeight="1">
      <c r="A72" s="1"/>
      <c r="B72" s="1"/>
      <c r="C72" s="1"/>
      <c r="D72" s="1"/>
      <c r="E72" s="1"/>
      <c r="F72" s="1"/>
      <c r="G72" s="1"/>
      <c r="H72" s="1"/>
    </row>
    <row r="73" spans="1:8" ht="21.95" customHeight="1">
      <c r="A73" s="1"/>
      <c r="B73" s="1"/>
      <c r="C73" s="1"/>
      <c r="D73" s="1"/>
      <c r="E73" s="1"/>
      <c r="F73" s="1"/>
      <c r="G73" s="1"/>
      <c r="H73" s="1"/>
    </row>
    <row r="74" spans="1:8" ht="21.95" customHeight="1">
      <c r="A74" s="1"/>
      <c r="B74" s="1"/>
      <c r="C74" s="1"/>
      <c r="D74" s="1"/>
      <c r="E74" s="1"/>
      <c r="F74" s="1"/>
      <c r="G74" s="1"/>
      <c r="H74" s="1"/>
    </row>
    <row r="75" spans="1:8" ht="21.95" customHeight="1">
      <c r="A75" s="1"/>
      <c r="B75" s="1"/>
      <c r="C75" s="1"/>
      <c r="D75" s="1"/>
      <c r="E75" s="1"/>
      <c r="F75" s="1"/>
      <c r="G75" s="1"/>
      <c r="H75" s="1"/>
    </row>
    <row r="76" spans="1:8" ht="21.95" customHeight="1">
      <c r="A76" s="1"/>
      <c r="B76" s="1"/>
      <c r="C76" s="1"/>
      <c r="D76" s="1"/>
      <c r="E76" s="1"/>
      <c r="F76" s="1"/>
      <c r="G76" s="1"/>
      <c r="H76" s="1"/>
    </row>
    <row r="77" spans="1:8" ht="21.95" customHeight="1">
      <c r="A77" s="1"/>
      <c r="B77" s="1"/>
      <c r="C77" s="1"/>
      <c r="D77" s="1"/>
      <c r="E77" s="1"/>
      <c r="F77" s="1"/>
      <c r="G77" s="1"/>
      <c r="H77" s="1"/>
    </row>
    <row r="78" spans="1:8" ht="21.95" customHeight="1">
      <c r="A78" s="1"/>
      <c r="B78" s="1"/>
      <c r="C78" s="1"/>
      <c r="D78" s="1"/>
      <c r="E78" s="1"/>
      <c r="F78" s="1"/>
      <c r="G78" s="1"/>
      <c r="H78" s="1"/>
    </row>
    <row r="79" spans="1:8" ht="21.95" customHeight="1">
      <c r="A79" s="1"/>
      <c r="B79" s="1"/>
      <c r="C79" s="1"/>
      <c r="D79" s="1"/>
      <c r="E79" s="1"/>
      <c r="F79" s="1"/>
      <c r="G79" s="1"/>
      <c r="H79" s="1"/>
    </row>
    <row r="80" spans="1:8" ht="21.95" customHeight="1">
      <c r="A80" s="1"/>
      <c r="B80" s="1"/>
      <c r="C80" s="1"/>
      <c r="D80" s="1"/>
      <c r="E80" s="1"/>
      <c r="F80" s="1"/>
      <c r="G80" s="1"/>
      <c r="H80" s="1"/>
    </row>
    <row r="81" spans="1:8" ht="21.95" customHeight="1">
      <c r="A81" s="1"/>
      <c r="B81" s="1"/>
      <c r="C81" s="1"/>
      <c r="D81" s="1"/>
      <c r="E81" s="1"/>
      <c r="F81" s="1"/>
      <c r="G81" s="1"/>
      <c r="H81" s="1"/>
    </row>
    <row r="82" spans="1:8" ht="21.95" customHeight="1">
      <c r="A82" s="1"/>
      <c r="B82" s="1"/>
      <c r="C82" s="1"/>
      <c r="D82" s="1"/>
      <c r="E82" s="1"/>
      <c r="F82" s="1"/>
      <c r="G82" s="1"/>
      <c r="H82" s="1"/>
    </row>
    <row r="83" spans="1:8" ht="21.95" customHeight="1">
      <c r="A83" s="1"/>
      <c r="B83" s="1"/>
      <c r="C83" s="1"/>
      <c r="D83" s="1"/>
      <c r="E83" s="1"/>
      <c r="F83" s="1"/>
      <c r="G83" s="1"/>
      <c r="H83" s="1"/>
    </row>
    <row r="84" spans="1:8" ht="21.95" customHeight="1">
      <c r="A84" s="1"/>
      <c r="B84" s="1"/>
      <c r="C84" s="1"/>
      <c r="D84" s="1"/>
      <c r="E84" s="1"/>
      <c r="F84" s="1"/>
      <c r="G84" s="1"/>
      <c r="H84" s="1"/>
    </row>
    <row r="85" spans="1:8" ht="21.95" customHeight="1">
      <c r="A85" s="1"/>
      <c r="B85" s="1"/>
      <c r="C85" s="1"/>
      <c r="D85" s="1"/>
      <c r="E85" s="1"/>
      <c r="F85" s="1"/>
      <c r="G85" s="1"/>
      <c r="H85" s="1"/>
    </row>
    <row r="86" spans="1:8" ht="21.95" customHeight="1">
      <c r="A86" s="1"/>
      <c r="B86" s="1"/>
      <c r="C86" s="1"/>
      <c r="D86" s="1"/>
      <c r="E86" s="1"/>
      <c r="F86" s="1"/>
      <c r="G86" s="1"/>
      <c r="H86" s="1"/>
    </row>
    <row r="87" spans="1:8" ht="21.95" customHeight="1">
      <c r="A87" s="1"/>
      <c r="B87" s="1"/>
      <c r="C87" s="1"/>
      <c r="D87" s="1"/>
      <c r="E87" s="1"/>
      <c r="F87" s="1"/>
      <c r="G87" s="1"/>
      <c r="H87" s="1"/>
    </row>
    <row r="88" spans="1:8" ht="21.95" customHeight="1">
      <c r="A88" s="1"/>
      <c r="B88" s="1"/>
      <c r="C88" s="1"/>
      <c r="D88" s="1"/>
      <c r="E88" s="1"/>
      <c r="F88" s="1"/>
      <c r="G88" s="1"/>
      <c r="H88" s="1"/>
    </row>
    <row r="89" spans="1:8" ht="21.95" customHeight="1">
      <c r="A89" s="1"/>
      <c r="B89" s="1"/>
      <c r="C89" s="1"/>
      <c r="D89" s="1"/>
      <c r="E89" s="1"/>
      <c r="F89" s="1"/>
      <c r="G89" s="1"/>
      <c r="H89" s="1"/>
    </row>
    <row r="90" spans="1:8" ht="21.95" customHeight="1">
      <c r="A90" s="1"/>
      <c r="B90" s="1"/>
      <c r="C90" s="1"/>
      <c r="D90" s="1"/>
      <c r="E90" s="1"/>
      <c r="F90" s="1"/>
      <c r="G90" s="1"/>
      <c r="H90" s="1"/>
    </row>
    <row r="91" spans="1:8" ht="21.95" customHeight="1">
      <c r="A91" s="1"/>
      <c r="B91" s="1"/>
      <c r="C91" s="1"/>
      <c r="D91" s="1"/>
      <c r="E91" s="1"/>
      <c r="F91" s="1"/>
      <c r="G91" s="1"/>
      <c r="H91" s="1"/>
    </row>
    <row r="92" spans="1:8" ht="21.95" customHeight="1">
      <c r="A92" s="1"/>
      <c r="B92" s="1"/>
      <c r="C92" s="1"/>
      <c r="D92" s="1"/>
      <c r="E92" s="1"/>
      <c r="F92" s="1"/>
      <c r="G92" s="1"/>
      <c r="H92" s="1"/>
    </row>
    <row r="93" spans="1:8" ht="21.95" customHeight="1">
      <c r="A93" s="1"/>
      <c r="B93" s="1"/>
      <c r="C93" s="1"/>
      <c r="D93" s="1"/>
      <c r="E93" s="1"/>
      <c r="F93" s="1"/>
      <c r="G93" s="1"/>
      <c r="H93" s="1"/>
    </row>
    <row r="94" spans="1:8" ht="21.95" customHeight="1">
      <c r="A94" s="1"/>
      <c r="B94" s="1"/>
      <c r="C94" s="1"/>
      <c r="D94" s="1"/>
      <c r="E94" s="1"/>
      <c r="F94" s="1"/>
      <c r="G94" s="1"/>
      <c r="H94" s="1"/>
    </row>
    <row r="95" spans="1:8" ht="21.95" customHeight="1">
      <c r="A95" s="1"/>
      <c r="B95" s="1"/>
      <c r="C95" s="1"/>
      <c r="D95" s="1"/>
      <c r="E95" s="1"/>
      <c r="F95" s="1"/>
      <c r="G95" s="1"/>
      <c r="H95" s="1"/>
    </row>
    <row r="96" spans="1:8" ht="21.95" customHeight="1">
      <c r="A96" s="1"/>
      <c r="B96" s="1"/>
      <c r="C96" s="1"/>
      <c r="D96" s="1"/>
      <c r="E96" s="1"/>
      <c r="F96" s="1"/>
      <c r="G96" s="1"/>
      <c r="H96" s="1"/>
    </row>
    <row r="97" spans="1:8" ht="21.95" customHeight="1">
      <c r="A97" s="1"/>
      <c r="B97" s="1"/>
      <c r="C97" s="1"/>
      <c r="D97" s="1"/>
      <c r="E97" s="1"/>
      <c r="F97" s="1"/>
      <c r="G97" s="1"/>
      <c r="H97" s="1"/>
    </row>
    <row r="98" spans="1:8" ht="21.95" customHeight="1">
      <c r="A98" s="1"/>
      <c r="B98" s="1"/>
      <c r="C98" s="1"/>
      <c r="D98" s="1"/>
      <c r="E98" s="1"/>
      <c r="F98" s="1"/>
      <c r="G98" s="1"/>
      <c r="H98" s="1"/>
    </row>
    <row r="99" spans="1:8" ht="21.95" customHeight="1">
      <c r="A99" s="1"/>
      <c r="B99" s="1"/>
      <c r="C99" s="1"/>
      <c r="D99" s="1"/>
      <c r="E99" s="1"/>
      <c r="F99" s="1"/>
      <c r="G99" s="1"/>
      <c r="H99" s="1"/>
    </row>
    <row r="100" spans="1:8" ht="21.95" customHeight="1">
      <c r="A100" s="1"/>
      <c r="B100" s="1"/>
      <c r="C100" s="1"/>
      <c r="D100" s="1"/>
      <c r="E100" s="1"/>
      <c r="F100" s="1"/>
      <c r="G100" s="1"/>
      <c r="H100" s="1"/>
    </row>
  </sheetData>
  <mergeCells count="4">
    <mergeCell ref="A4:H4"/>
    <mergeCell ref="A20:H20"/>
    <mergeCell ref="A24:H24"/>
    <mergeCell ref="A22:H22"/>
  </mergeCells>
  <dataValidations count="1">
    <dataValidation type="whole" sqref="D12:D17" xr:uid="{00000000-0002-0000-0100-000000000000}">
      <formula1>1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showGridLines="0" workbookViewId="0">
      <pane ySplit="24" topLeftCell="A25" activePane="bottomLeft" state="frozen"/>
      <selection pane="bottomLeft"/>
    </sheetView>
  </sheetViews>
  <sheetFormatPr defaultRowHeight="14.25"/>
  <cols>
    <col min="1" max="1" width="10" customWidth="1"/>
    <col min="2" max="2" width="40" customWidth="1"/>
    <col min="3" max="3" width="12" customWidth="1"/>
    <col min="4" max="4" width="14" customWidth="1"/>
    <col min="5" max="5" width="15" customWidth="1"/>
    <col min="6" max="6" width="74" customWidth="1"/>
  </cols>
  <sheetData>
    <row r="1" spans="1:6" ht="21.95" customHeight="1">
      <c r="A1" s="1"/>
      <c r="B1" s="1"/>
      <c r="C1" s="1"/>
      <c r="D1" s="1"/>
      <c r="E1" s="1"/>
      <c r="F1" s="1"/>
    </row>
    <row r="2" spans="1:6" ht="30" customHeight="1">
      <c r="A2" s="2" t="s">
        <v>112</v>
      </c>
      <c r="B2" s="1"/>
      <c r="C2" s="1"/>
      <c r="D2" s="1"/>
      <c r="E2" s="1"/>
      <c r="F2" s="1"/>
    </row>
    <row r="3" spans="1:6" ht="21.95" customHeight="1">
      <c r="A3" s="1"/>
      <c r="B3" s="1"/>
      <c r="C3" s="1"/>
      <c r="D3" s="1"/>
      <c r="E3" s="1"/>
      <c r="F3" s="1"/>
    </row>
    <row r="4" spans="1:6" ht="21.95" customHeight="1">
      <c r="A4" s="1"/>
      <c r="B4" s="1"/>
      <c r="C4" s="1"/>
      <c r="D4" s="1"/>
      <c r="E4" s="1"/>
      <c r="F4" s="1"/>
    </row>
    <row r="5" spans="1:6" ht="21.95" customHeight="1">
      <c r="A5" s="1"/>
      <c r="B5" s="1"/>
      <c r="C5" s="1"/>
      <c r="D5" s="1"/>
      <c r="E5" s="1"/>
      <c r="F5" s="1"/>
    </row>
    <row r="6" spans="1:6" ht="32.1" customHeight="1">
      <c r="A6" s="4" t="s">
        <v>113</v>
      </c>
      <c r="B6" s="4" t="s">
        <v>19</v>
      </c>
      <c r="C6" s="4" t="s">
        <v>78</v>
      </c>
      <c r="D6" s="4" t="s">
        <v>114</v>
      </c>
      <c r="E6" s="4" t="s">
        <v>115</v>
      </c>
      <c r="F6" s="4" t="s">
        <v>116</v>
      </c>
    </row>
    <row r="7" spans="1:6" ht="36" customHeight="1">
      <c r="A7" s="5" t="s">
        <v>117</v>
      </c>
      <c r="B7" s="5" t="s">
        <v>118</v>
      </c>
      <c r="C7" s="7">
        <v>2</v>
      </c>
      <c r="D7" s="11">
        <v>0</v>
      </c>
      <c r="E7" s="7">
        <f t="shared" ref="E7:E19" si="0">C7*D7</f>
        <v>0</v>
      </c>
      <c r="F7" s="5" t="s">
        <v>119</v>
      </c>
    </row>
    <row r="8" spans="1:6" ht="36" customHeight="1">
      <c r="A8" s="6" t="s">
        <v>120</v>
      </c>
      <c r="B8" s="6" t="s">
        <v>121</v>
      </c>
      <c r="C8" s="8">
        <v>1</v>
      </c>
      <c r="D8" s="11">
        <v>1</v>
      </c>
      <c r="E8" s="8">
        <f t="shared" si="0"/>
        <v>1</v>
      </c>
      <c r="F8" s="6" t="s">
        <v>122</v>
      </c>
    </row>
    <row r="9" spans="1:6" ht="36" customHeight="1">
      <c r="A9" s="5" t="s">
        <v>123</v>
      </c>
      <c r="B9" s="5" t="s">
        <v>124</v>
      </c>
      <c r="C9" s="7">
        <v>1</v>
      </c>
      <c r="D9" s="11">
        <v>0</v>
      </c>
      <c r="E9" s="7">
        <f t="shared" si="0"/>
        <v>0</v>
      </c>
      <c r="F9" s="5" t="s">
        <v>125</v>
      </c>
    </row>
    <row r="10" spans="1:6" ht="36" customHeight="1">
      <c r="A10" s="6" t="s">
        <v>126</v>
      </c>
      <c r="B10" s="6" t="s">
        <v>127</v>
      </c>
      <c r="C10" s="8">
        <v>1</v>
      </c>
      <c r="D10" s="11">
        <v>1</v>
      </c>
      <c r="E10" s="8">
        <f t="shared" si="0"/>
        <v>1</v>
      </c>
      <c r="F10" s="6" t="s">
        <v>128</v>
      </c>
    </row>
    <row r="11" spans="1:6" ht="36" customHeight="1">
      <c r="A11" s="5" t="s">
        <v>129</v>
      </c>
      <c r="B11" s="5" t="s">
        <v>130</v>
      </c>
      <c r="C11" s="7">
        <v>1</v>
      </c>
      <c r="D11" s="11">
        <v>0</v>
      </c>
      <c r="E11" s="7">
        <f t="shared" si="0"/>
        <v>0</v>
      </c>
      <c r="F11" s="5" t="s">
        <v>131</v>
      </c>
    </row>
    <row r="12" spans="1:6" ht="36" customHeight="1">
      <c r="A12" s="6" t="s">
        <v>132</v>
      </c>
      <c r="B12" s="6" t="s">
        <v>133</v>
      </c>
      <c r="C12" s="8">
        <v>0.5</v>
      </c>
      <c r="D12" s="11">
        <v>2</v>
      </c>
      <c r="E12" s="8">
        <f t="shared" si="0"/>
        <v>1</v>
      </c>
      <c r="F12" s="6" t="s">
        <v>134</v>
      </c>
    </row>
    <row r="13" spans="1:6" ht="36" customHeight="1">
      <c r="A13" s="5" t="s">
        <v>135</v>
      </c>
      <c r="B13" s="5" t="s">
        <v>136</v>
      </c>
      <c r="C13" s="7">
        <v>0.5</v>
      </c>
      <c r="D13" s="11">
        <v>3</v>
      </c>
      <c r="E13" s="7">
        <f t="shared" si="0"/>
        <v>1.5</v>
      </c>
      <c r="F13" s="5" t="s">
        <v>137</v>
      </c>
    </row>
    <row r="14" spans="1:6" ht="36" customHeight="1">
      <c r="A14" s="6" t="s">
        <v>138</v>
      </c>
      <c r="B14" s="6" t="s">
        <v>139</v>
      </c>
      <c r="C14" s="8">
        <v>2</v>
      </c>
      <c r="D14" s="11">
        <v>0</v>
      </c>
      <c r="E14" s="8">
        <f t="shared" si="0"/>
        <v>0</v>
      </c>
      <c r="F14" s="6" t="s">
        <v>140</v>
      </c>
    </row>
    <row r="15" spans="1:6" ht="36" customHeight="1">
      <c r="A15" s="5" t="s">
        <v>141</v>
      </c>
      <c r="B15" s="5" t="s">
        <v>142</v>
      </c>
      <c r="C15" s="7">
        <v>1</v>
      </c>
      <c r="D15" s="11">
        <v>2</v>
      </c>
      <c r="E15" s="7">
        <f t="shared" si="0"/>
        <v>2</v>
      </c>
      <c r="F15" s="5" t="s">
        <v>143</v>
      </c>
    </row>
    <row r="16" spans="1:6" ht="36" customHeight="1">
      <c r="A16" s="6" t="s">
        <v>144</v>
      </c>
      <c r="B16" s="6" t="s">
        <v>145</v>
      </c>
      <c r="C16" s="8">
        <v>1</v>
      </c>
      <c r="D16" s="11">
        <v>0</v>
      </c>
      <c r="E16" s="8">
        <f t="shared" si="0"/>
        <v>0</v>
      </c>
      <c r="F16" s="6" t="s">
        <v>146</v>
      </c>
    </row>
    <row r="17" spans="1:6" ht="36" customHeight="1">
      <c r="A17" s="5" t="s">
        <v>147</v>
      </c>
      <c r="B17" s="5" t="s">
        <v>148</v>
      </c>
      <c r="C17" s="7">
        <v>1</v>
      </c>
      <c r="D17" s="11">
        <v>1</v>
      </c>
      <c r="E17" s="7">
        <f t="shared" si="0"/>
        <v>1</v>
      </c>
      <c r="F17" s="5" t="s">
        <v>149</v>
      </c>
    </row>
    <row r="18" spans="1:6" ht="36" customHeight="1">
      <c r="A18" s="6" t="s">
        <v>150</v>
      </c>
      <c r="B18" s="6" t="s">
        <v>151</v>
      </c>
      <c r="C18" s="8">
        <v>1</v>
      </c>
      <c r="D18" s="11">
        <v>0</v>
      </c>
      <c r="E18" s="8">
        <f t="shared" si="0"/>
        <v>0</v>
      </c>
      <c r="F18" s="6" t="s">
        <v>152</v>
      </c>
    </row>
    <row r="19" spans="1:6" ht="36" customHeight="1">
      <c r="A19" s="5" t="s">
        <v>153</v>
      </c>
      <c r="B19" s="5" t="s">
        <v>154</v>
      </c>
      <c r="C19" s="7">
        <v>1</v>
      </c>
      <c r="D19" s="11">
        <v>0</v>
      </c>
      <c r="E19" s="7">
        <f t="shared" si="0"/>
        <v>0</v>
      </c>
      <c r="F19" s="5" t="s">
        <v>155</v>
      </c>
    </row>
    <row r="20" spans="1:6" ht="21.95" customHeight="1">
      <c r="A20" s="1"/>
      <c r="B20" s="1" t="s">
        <v>156</v>
      </c>
      <c r="C20" s="13"/>
      <c r="D20" s="13"/>
      <c r="E20" s="13">
        <f>SUM(E7:E19)</f>
        <v>7.5</v>
      </c>
      <c r="F20" s="1"/>
    </row>
    <row r="21" spans="1:6" ht="21.95" customHeight="1">
      <c r="A21" s="1"/>
      <c r="B21" s="1" t="s">
        <v>20</v>
      </c>
      <c r="C21" s="13"/>
      <c r="D21" s="13"/>
      <c r="E21" s="15">
        <f>0.6+0.01*E20</f>
        <v>0.67499999999999993</v>
      </c>
      <c r="F21" s="1"/>
    </row>
    <row r="22" spans="1:6" ht="21.95" customHeight="1">
      <c r="A22" s="1"/>
      <c r="B22" s="1"/>
      <c r="C22" s="13"/>
      <c r="D22" s="13"/>
      <c r="E22" s="13"/>
      <c r="F22" s="1"/>
    </row>
    <row r="23" spans="1:6" ht="21.95" customHeight="1">
      <c r="A23" s="1"/>
      <c r="B23" s="1"/>
      <c r="C23" s="13"/>
      <c r="D23" s="13"/>
      <c r="E23" s="13"/>
      <c r="F23" s="1"/>
    </row>
    <row r="24" spans="1:6" ht="32.1" customHeight="1">
      <c r="A24" s="4" t="s">
        <v>113</v>
      </c>
      <c r="B24" s="4" t="s">
        <v>23</v>
      </c>
      <c r="C24" s="14" t="s">
        <v>78</v>
      </c>
      <c r="D24" s="14" t="s">
        <v>114</v>
      </c>
      <c r="E24" s="14" t="s">
        <v>115</v>
      </c>
      <c r="F24" s="4" t="s">
        <v>32</v>
      </c>
    </row>
    <row r="25" spans="1:6" ht="39.950000000000003" customHeight="1">
      <c r="A25" s="5" t="s">
        <v>157</v>
      </c>
      <c r="B25" s="5" t="s">
        <v>158</v>
      </c>
      <c r="C25" s="7">
        <v>1.5</v>
      </c>
      <c r="D25" s="11">
        <v>3</v>
      </c>
      <c r="E25" s="7">
        <f t="shared" ref="E25:E32" si="1">C25*D25</f>
        <v>4.5</v>
      </c>
      <c r="F25" s="5" t="s">
        <v>159</v>
      </c>
    </row>
    <row r="26" spans="1:6" ht="39.950000000000003" customHeight="1">
      <c r="A26" s="6" t="s">
        <v>160</v>
      </c>
      <c r="B26" s="6" t="s">
        <v>161</v>
      </c>
      <c r="C26" s="8">
        <v>0.5</v>
      </c>
      <c r="D26" s="11">
        <v>3</v>
      </c>
      <c r="E26" s="8">
        <f t="shared" si="1"/>
        <v>1.5</v>
      </c>
      <c r="F26" s="6" t="s">
        <v>162</v>
      </c>
    </row>
    <row r="27" spans="1:6" ht="39.950000000000003" customHeight="1">
      <c r="A27" s="5" t="s">
        <v>163</v>
      </c>
      <c r="B27" s="5" t="s">
        <v>164</v>
      </c>
      <c r="C27" s="7">
        <v>1</v>
      </c>
      <c r="D27" s="11">
        <v>3</v>
      </c>
      <c r="E27" s="7">
        <f t="shared" si="1"/>
        <v>3</v>
      </c>
      <c r="F27" s="5" t="s">
        <v>165</v>
      </c>
    </row>
    <row r="28" spans="1:6" ht="39.950000000000003" customHeight="1">
      <c r="A28" s="6" t="s">
        <v>166</v>
      </c>
      <c r="B28" s="6" t="s">
        <v>167</v>
      </c>
      <c r="C28" s="8">
        <v>0.5</v>
      </c>
      <c r="D28" s="11">
        <v>3</v>
      </c>
      <c r="E28" s="8">
        <f t="shared" si="1"/>
        <v>1.5</v>
      </c>
      <c r="F28" s="6" t="s">
        <v>168</v>
      </c>
    </row>
    <row r="29" spans="1:6" ht="39.950000000000003" customHeight="1">
      <c r="A29" s="5" t="s">
        <v>169</v>
      </c>
      <c r="B29" s="5" t="s">
        <v>170</v>
      </c>
      <c r="C29" s="7">
        <v>1</v>
      </c>
      <c r="D29" s="11">
        <v>3</v>
      </c>
      <c r="E29" s="7">
        <f t="shared" si="1"/>
        <v>3</v>
      </c>
      <c r="F29" s="5" t="s">
        <v>171</v>
      </c>
    </row>
    <row r="30" spans="1:6" ht="39.950000000000003" customHeight="1">
      <c r="A30" s="6" t="s">
        <v>172</v>
      </c>
      <c r="B30" s="6" t="s">
        <v>173</v>
      </c>
      <c r="C30" s="8">
        <v>2</v>
      </c>
      <c r="D30" s="11">
        <v>4</v>
      </c>
      <c r="E30" s="8">
        <f t="shared" si="1"/>
        <v>8</v>
      </c>
      <c r="F30" s="6" t="s">
        <v>174</v>
      </c>
    </row>
    <row r="31" spans="1:6" ht="39.950000000000003" customHeight="1">
      <c r="A31" s="5" t="s">
        <v>175</v>
      </c>
      <c r="B31" s="5" t="s">
        <v>176</v>
      </c>
      <c r="C31" s="7">
        <v>-1</v>
      </c>
      <c r="D31" s="11">
        <v>5</v>
      </c>
      <c r="E31" s="7">
        <f t="shared" si="1"/>
        <v>-5</v>
      </c>
      <c r="F31" s="5" t="s">
        <v>177</v>
      </c>
    </row>
    <row r="32" spans="1:6" ht="39.950000000000003" customHeight="1">
      <c r="A32" s="6" t="s">
        <v>178</v>
      </c>
      <c r="B32" s="6" t="s">
        <v>179</v>
      </c>
      <c r="C32" s="8">
        <v>-1</v>
      </c>
      <c r="D32" s="11">
        <v>1</v>
      </c>
      <c r="E32" s="8">
        <f t="shared" si="1"/>
        <v>-1</v>
      </c>
      <c r="F32" s="6" t="s">
        <v>180</v>
      </c>
    </row>
    <row r="33" spans="1:6" ht="21.95" customHeight="1">
      <c r="A33" s="1"/>
      <c r="B33" s="1" t="s">
        <v>181</v>
      </c>
      <c r="C33" s="13"/>
      <c r="D33" s="13"/>
      <c r="E33" s="13">
        <f>SUM(E25:E32)</f>
        <v>15.5</v>
      </c>
      <c r="F33" s="1"/>
    </row>
    <row r="34" spans="1:6" ht="21.95" customHeight="1">
      <c r="A34" s="1"/>
      <c r="B34" s="1" t="s">
        <v>24</v>
      </c>
      <c r="C34" s="13"/>
      <c r="D34" s="13"/>
      <c r="E34" s="15">
        <f>1.4-0.03*E33</f>
        <v>0.93499999999999994</v>
      </c>
      <c r="F34" s="1"/>
    </row>
    <row r="35" spans="1:6" ht="21.95" customHeight="1">
      <c r="A35" s="1"/>
      <c r="B35" s="1"/>
      <c r="C35" s="1"/>
      <c r="D35" s="1"/>
      <c r="E35" s="1"/>
      <c r="F35" s="1"/>
    </row>
    <row r="36" spans="1:6" ht="32.1" customHeight="1">
      <c r="A36" s="20" t="s">
        <v>182</v>
      </c>
      <c r="B36" s="21"/>
      <c r="C36" s="21"/>
      <c r="D36" s="21"/>
      <c r="E36" s="21"/>
      <c r="F36" s="21"/>
    </row>
    <row r="37" spans="1:6" ht="21.95" customHeight="1">
      <c r="A37" s="1"/>
      <c r="B37" s="1"/>
      <c r="C37" s="1"/>
      <c r="D37" s="1"/>
      <c r="E37" s="1"/>
      <c r="F37" s="1"/>
    </row>
    <row r="38" spans="1:6" ht="32.1" customHeight="1">
      <c r="A38" s="20" t="s">
        <v>183</v>
      </c>
      <c r="B38" s="21"/>
      <c r="C38" s="21"/>
      <c r="D38" s="21"/>
      <c r="E38" s="21"/>
      <c r="F38" s="21"/>
    </row>
    <row r="39" spans="1:6" ht="21.95" customHeight="1">
      <c r="A39" s="1"/>
      <c r="B39" s="1"/>
      <c r="C39" s="1"/>
      <c r="D39" s="1"/>
      <c r="E39" s="1"/>
      <c r="F39" s="1"/>
    </row>
    <row r="40" spans="1:6" ht="21.95" customHeight="1">
      <c r="A40" s="1"/>
      <c r="B40" s="1"/>
      <c r="C40" s="1"/>
      <c r="D40" s="1"/>
      <c r="E40" s="1"/>
      <c r="F40" s="1"/>
    </row>
    <row r="41" spans="1:6" ht="21.95" customHeight="1">
      <c r="A41" s="1"/>
      <c r="B41" s="1"/>
      <c r="C41" s="1"/>
      <c r="D41" s="1"/>
      <c r="E41" s="1"/>
      <c r="F41" s="1"/>
    </row>
    <row r="42" spans="1:6" ht="21.95" customHeight="1">
      <c r="A42" s="1"/>
      <c r="B42" s="1"/>
      <c r="C42" s="1"/>
      <c r="D42" s="1"/>
      <c r="E42" s="1"/>
      <c r="F42" s="1"/>
    </row>
    <row r="43" spans="1:6" ht="21.95" customHeight="1">
      <c r="A43" s="1"/>
      <c r="B43" s="1"/>
      <c r="C43" s="1"/>
      <c r="D43" s="1"/>
      <c r="E43" s="1"/>
      <c r="F43" s="1"/>
    </row>
    <row r="44" spans="1:6" ht="21.95" customHeight="1">
      <c r="A44" s="1"/>
      <c r="B44" s="1"/>
      <c r="C44" s="1"/>
      <c r="D44" s="1"/>
      <c r="E44" s="1"/>
      <c r="F44" s="1"/>
    </row>
    <row r="45" spans="1:6" ht="21.95" customHeight="1">
      <c r="A45" s="1"/>
      <c r="B45" s="1"/>
      <c r="C45" s="1"/>
      <c r="D45" s="1"/>
      <c r="E45" s="1"/>
      <c r="F45" s="1"/>
    </row>
    <row r="46" spans="1:6" ht="21.95" customHeight="1">
      <c r="A46" s="1"/>
      <c r="B46" s="1"/>
      <c r="C46" s="1"/>
      <c r="D46" s="1"/>
      <c r="E46" s="1"/>
      <c r="F46" s="1"/>
    </row>
    <row r="47" spans="1:6" ht="21.95" customHeight="1">
      <c r="A47" s="1"/>
      <c r="B47" s="1"/>
      <c r="C47" s="1"/>
      <c r="D47" s="1"/>
      <c r="E47" s="1"/>
      <c r="F47" s="1"/>
    </row>
    <row r="48" spans="1:6" ht="21.95" customHeight="1">
      <c r="A48" s="1"/>
      <c r="B48" s="1"/>
      <c r="C48" s="1"/>
      <c r="D48" s="1"/>
      <c r="E48" s="1"/>
      <c r="F48" s="1"/>
    </row>
    <row r="49" spans="1:6" ht="21.95" customHeight="1">
      <c r="A49" s="1"/>
      <c r="B49" s="1"/>
      <c r="C49" s="1"/>
      <c r="D49" s="1"/>
      <c r="E49" s="1"/>
      <c r="F49" s="1"/>
    </row>
    <row r="50" spans="1:6" ht="21.95" customHeight="1">
      <c r="A50" s="1"/>
      <c r="B50" s="1"/>
      <c r="C50" s="1"/>
      <c r="D50" s="1"/>
      <c r="E50" s="1"/>
      <c r="F50" s="1"/>
    </row>
    <row r="51" spans="1:6" ht="21.95" customHeight="1">
      <c r="A51" s="1"/>
      <c r="B51" s="1"/>
      <c r="C51" s="1"/>
      <c r="D51" s="1"/>
      <c r="E51" s="1"/>
      <c r="F51" s="1"/>
    </row>
    <row r="52" spans="1:6" ht="21.95" customHeight="1">
      <c r="A52" s="1"/>
      <c r="B52" s="1"/>
      <c r="C52" s="1"/>
      <c r="D52" s="1"/>
      <c r="E52" s="1"/>
      <c r="F52" s="1"/>
    </row>
    <row r="53" spans="1:6" ht="21.95" customHeight="1">
      <c r="A53" s="1"/>
      <c r="B53" s="1"/>
      <c r="C53" s="1"/>
      <c r="D53" s="1"/>
      <c r="E53" s="1"/>
      <c r="F53" s="1"/>
    </row>
    <row r="54" spans="1:6" ht="21.95" customHeight="1">
      <c r="A54" s="1"/>
      <c r="B54" s="1"/>
      <c r="C54" s="1"/>
      <c r="D54" s="1"/>
      <c r="E54" s="1"/>
      <c r="F54" s="1"/>
    </row>
    <row r="55" spans="1:6" ht="21.95" customHeight="1">
      <c r="A55" s="1"/>
      <c r="B55" s="1"/>
      <c r="C55" s="1"/>
      <c r="D55" s="1"/>
      <c r="E55" s="1"/>
      <c r="F55" s="1"/>
    </row>
    <row r="56" spans="1:6" ht="21.95" customHeight="1">
      <c r="A56" s="1"/>
      <c r="B56" s="1"/>
      <c r="C56" s="1"/>
      <c r="D56" s="1"/>
      <c r="E56" s="1"/>
      <c r="F56" s="1"/>
    </row>
    <row r="57" spans="1:6" ht="21.95" customHeight="1">
      <c r="A57" s="1"/>
      <c r="B57" s="1"/>
      <c r="C57" s="1"/>
      <c r="D57" s="1"/>
      <c r="E57" s="1"/>
      <c r="F57" s="1"/>
    </row>
    <row r="58" spans="1:6" ht="21.95" customHeight="1">
      <c r="A58" s="1"/>
      <c r="B58" s="1"/>
      <c r="C58" s="1"/>
      <c r="D58" s="1"/>
      <c r="E58" s="1"/>
      <c r="F58" s="1"/>
    </row>
    <row r="59" spans="1:6" ht="21.95" customHeight="1">
      <c r="A59" s="1"/>
      <c r="B59" s="1"/>
      <c r="C59" s="1"/>
      <c r="D59" s="1"/>
      <c r="E59" s="1"/>
      <c r="F59" s="1"/>
    </row>
    <row r="60" spans="1:6" ht="21.95" customHeight="1">
      <c r="A60" s="1"/>
      <c r="B60" s="1"/>
      <c r="C60" s="1"/>
      <c r="D60" s="1"/>
      <c r="E60" s="1"/>
      <c r="F60" s="1"/>
    </row>
    <row r="61" spans="1:6" ht="21.95" customHeight="1">
      <c r="A61" s="1"/>
      <c r="B61" s="1"/>
      <c r="C61" s="1"/>
      <c r="D61" s="1"/>
      <c r="E61" s="1"/>
      <c r="F61" s="1"/>
    </row>
    <row r="62" spans="1:6" ht="21.95" customHeight="1">
      <c r="A62" s="1"/>
      <c r="B62" s="1"/>
      <c r="C62" s="1"/>
      <c r="D62" s="1"/>
      <c r="E62" s="1"/>
      <c r="F62" s="1"/>
    </row>
    <row r="63" spans="1:6" ht="21.95" customHeight="1">
      <c r="A63" s="1"/>
      <c r="B63" s="1"/>
      <c r="C63" s="1"/>
      <c r="D63" s="1"/>
      <c r="E63" s="1"/>
      <c r="F63" s="1"/>
    </row>
    <row r="64" spans="1:6" ht="21.95" customHeight="1">
      <c r="A64" s="1"/>
      <c r="B64" s="1"/>
      <c r="C64" s="1"/>
      <c r="D64" s="1"/>
      <c r="E64" s="1"/>
      <c r="F64" s="1"/>
    </row>
    <row r="65" spans="1:6" ht="21.95" customHeight="1">
      <c r="A65" s="1"/>
      <c r="B65" s="1"/>
      <c r="C65" s="1"/>
      <c r="D65" s="1"/>
      <c r="E65" s="1"/>
      <c r="F65" s="1"/>
    </row>
    <row r="66" spans="1:6" ht="21.95" customHeight="1">
      <c r="A66" s="1"/>
      <c r="B66" s="1"/>
      <c r="C66" s="1"/>
      <c r="D66" s="1"/>
      <c r="E66" s="1"/>
      <c r="F66" s="1"/>
    </row>
    <row r="67" spans="1:6" ht="21.95" customHeight="1">
      <c r="A67" s="1"/>
      <c r="B67" s="1"/>
      <c r="C67" s="1"/>
      <c r="D67" s="1"/>
      <c r="E67" s="1"/>
      <c r="F67" s="1"/>
    </row>
    <row r="68" spans="1:6" ht="21.95" customHeight="1">
      <c r="A68" s="1"/>
      <c r="B68" s="1"/>
      <c r="C68" s="1"/>
      <c r="D68" s="1"/>
      <c r="E68" s="1"/>
      <c r="F68" s="1"/>
    </row>
    <row r="69" spans="1:6" ht="21.95" customHeight="1">
      <c r="A69" s="1"/>
      <c r="B69" s="1"/>
      <c r="C69" s="1"/>
      <c r="D69" s="1"/>
      <c r="E69" s="1"/>
      <c r="F69" s="1"/>
    </row>
    <row r="70" spans="1:6" ht="21.95" customHeight="1">
      <c r="A70" s="1"/>
      <c r="B70" s="1"/>
      <c r="C70" s="1"/>
      <c r="D70" s="1"/>
      <c r="E70" s="1"/>
      <c r="F70" s="1"/>
    </row>
    <row r="71" spans="1:6" ht="21.95" customHeight="1">
      <c r="A71" s="1"/>
      <c r="B71" s="1"/>
      <c r="C71" s="1"/>
      <c r="D71" s="1"/>
      <c r="E71" s="1"/>
      <c r="F71" s="1"/>
    </row>
    <row r="72" spans="1:6" ht="21.95" customHeight="1">
      <c r="A72" s="1"/>
      <c r="B72" s="1"/>
      <c r="C72" s="1"/>
      <c r="D72" s="1"/>
      <c r="E72" s="1"/>
      <c r="F72" s="1"/>
    </row>
    <row r="73" spans="1:6" ht="21.95" customHeight="1">
      <c r="A73" s="1"/>
      <c r="B73" s="1"/>
      <c r="C73" s="1"/>
      <c r="D73" s="1"/>
      <c r="E73" s="1"/>
      <c r="F73" s="1"/>
    </row>
    <row r="74" spans="1:6" ht="21.95" customHeight="1">
      <c r="A74" s="1"/>
      <c r="B74" s="1"/>
      <c r="C74" s="1"/>
      <c r="D74" s="1"/>
      <c r="E74" s="1"/>
      <c r="F74" s="1"/>
    </row>
    <row r="75" spans="1:6" ht="21.95" customHeight="1">
      <c r="A75" s="1"/>
      <c r="B75" s="1"/>
      <c r="C75" s="1"/>
      <c r="D75" s="1"/>
      <c r="E75" s="1"/>
      <c r="F75" s="1"/>
    </row>
    <row r="76" spans="1:6" ht="21.95" customHeight="1">
      <c r="A76" s="1"/>
      <c r="B76" s="1"/>
      <c r="C76" s="1"/>
      <c r="D76" s="1"/>
      <c r="E76" s="1"/>
      <c r="F76" s="1"/>
    </row>
    <row r="77" spans="1:6" ht="21.95" customHeight="1">
      <c r="A77" s="1"/>
      <c r="B77" s="1"/>
      <c r="C77" s="1"/>
      <c r="D77" s="1"/>
      <c r="E77" s="1"/>
      <c r="F77" s="1"/>
    </row>
    <row r="78" spans="1:6" ht="21.95" customHeight="1">
      <c r="A78" s="1"/>
      <c r="B78" s="1"/>
      <c r="C78" s="1"/>
      <c r="D78" s="1"/>
      <c r="E78" s="1"/>
      <c r="F78" s="1"/>
    </row>
    <row r="79" spans="1:6" ht="21.95" customHeight="1">
      <c r="A79" s="1"/>
      <c r="B79" s="1"/>
      <c r="C79" s="1"/>
      <c r="D79" s="1"/>
      <c r="E79" s="1"/>
      <c r="F79" s="1"/>
    </row>
    <row r="80" spans="1:6" ht="21.95" customHeight="1">
      <c r="A80" s="1"/>
      <c r="B80" s="1"/>
      <c r="C80" s="1"/>
      <c r="D80" s="1"/>
      <c r="E80" s="1"/>
      <c r="F80" s="1"/>
    </row>
    <row r="81" spans="1:6" ht="21.95" customHeight="1">
      <c r="A81" s="1"/>
      <c r="B81" s="1"/>
      <c r="C81" s="1"/>
      <c r="D81" s="1"/>
      <c r="E81" s="1"/>
      <c r="F81" s="1"/>
    </row>
    <row r="82" spans="1:6" ht="21.95" customHeight="1">
      <c r="A82" s="1"/>
      <c r="B82" s="1"/>
      <c r="C82" s="1"/>
      <c r="D82" s="1"/>
      <c r="E82" s="1"/>
      <c r="F82" s="1"/>
    </row>
    <row r="83" spans="1:6" ht="21.95" customHeight="1">
      <c r="A83" s="1"/>
      <c r="B83" s="1"/>
      <c r="C83" s="1"/>
      <c r="D83" s="1"/>
      <c r="E83" s="1"/>
      <c r="F83" s="1"/>
    </row>
    <row r="84" spans="1:6" ht="21.95" customHeight="1">
      <c r="A84" s="1"/>
      <c r="B84" s="1"/>
      <c r="C84" s="1"/>
      <c r="D84" s="1"/>
      <c r="E84" s="1"/>
      <c r="F84" s="1"/>
    </row>
    <row r="85" spans="1:6" ht="21.95" customHeight="1">
      <c r="A85" s="1"/>
      <c r="B85" s="1"/>
      <c r="C85" s="1"/>
      <c r="D85" s="1"/>
      <c r="E85" s="1"/>
      <c r="F85" s="1"/>
    </row>
    <row r="86" spans="1:6" ht="21.95" customHeight="1">
      <c r="A86" s="1"/>
      <c r="B86" s="1"/>
      <c r="C86" s="1"/>
      <c r="D86" s="1"/>
      <c r="E86" s="1"/>
      <c r="F86" s="1"/>
    </row>
    <row r="87" spans="1:6" ht="21.95" customHeight="1">
      <c r="A87" s="1"/>
      <c r="B87" s="1"/>
      <c r="C87" s="1"/>
      <c r="D87" s="1"/>
      <c r="E87" s="1"/>
      <c r="F87" s="1"/>
    </row>
    <row r="88" spans="1:6" ht="21.95" customHeight="1">
      <c r="A88" s="1"/>
      <c r="B88" s="1"/>
      <c r="C88" s="1"/>
      <c r="D88" s="1"/>
      <c r="E88" s="1"/>
      <c r="F88" s="1"/>
    </row>
    <row r="89" spans="1:6" ht="21.95" customHeight="1">
      <c r="A89" s="1"/>
      <c r="B89" s="1"/>
      <c r="C89" s="1"/>
      <c r="D89" s="1"/>
      <c r="E89" s="1"/>
      <c r="F89" s="1"/>
    </row>
    <row r="90" spans="1:6" ht="21.95" customHeight="1">
      <c r="A90" s="1"/>
      <c r="B90" s="1"/>
      <c r="C90" s="1"/>
      <c r="D90" s="1"/>
      <c r="E90" s="1"/>
      <c r="F90" s="1"/>
    </row>
    <row r="91" spans="1:6" ht="21.95" customHeight="1">
      <c r="A91" s="1"/>
      <c r="B91" s="1"/>
      <c r="C91" s="1"/>
      <c r="D91" s="1"/>
      <c r="E91" s="1"/>
      <c r="F91" s="1"/>
    </row>
    <row r="92" spans="1:6" ht="21.95" customHeight="1">
      <c r="A92" s="1"/>
      <c r="B92" s="1"/>
      <c r="C92" s="1"/>
      <c r="D92" s="1"/>
      <c r="E92" s="1"/>
      <c r="F92" s="1"/>
    </row>
    <row r="93" spans="1:6" ht="21.95" customHeight="1">
      <c r="A93" s="1"/>
      <c r="B93" s="1"/>
      <c r="C93" s="1"/>
      <c r="D93" s="1"/>
      <c r="E93" s="1"/>
      <c r="F93" s="1"/>
    </row>
    <row r="94" spans="1:6" ht="21.95" customHeight="1">
      <c r="A94" s="1"/>
      <c r="B94" s="1"/>
      <c r="C94" s="1"/>
      <c r="D94" s="1"/>
      <c r="E94" s="1"/>
      <c r="F94" s="1"/>
    </row>
    <row r="95" spans="1:6" ht="21.95" customHeight="1">
      <c r="A95" s="1"/>
      <c r="B95" s="1"/>
      <c r="C95" s="1"/>
      <c r="D95" s="1"/>
      <c r="E95" s="1"/>
      <c r="F95" s="1"/>
    </row>
    <row r="96" spans="1:6" ht="21.95" customHeight="1">
      <c r="A96" s="1"/>
      <c r="B96" s="1"/>
      <c r="C96" s="1"/>
      <c r="D96" s="1"/>
      <c r="E96" s="1"/>
      <c r="F96" s="1"/>
    </row>
    <row r="97" spans="1:6" ht="21.95" customHeight="1">
      <c r="A97" s="1"/>
      <c r="B97" s="1"/>
      <c r="C97" s="1"/>
      <c r="D97" s="1"/>
      <c r="E97" s="1"/>
      <c r="F97" s="1"/>
    </row>
    <row r="98" spans="1:6" ht="21.95" customHeight="1">
      <c r="A98" s="1"/>
      <c r="B98" s="1"/>
      <c r="C98" s="1"/>
      <c r="D98" s="1"/>
      <c r="E98" s="1"/>
      <c r="F98" s="1"/>
    </row>
    <row r="99" spans="1:6" ht="21.95" customHeight="1">
      <c r="A99" s="1"/>
      <c r="B99" s="1"/>
      <c r="C99" s="1"/>
      <c r="D99" s="1"/>
      <c r="E99" s="1"/>
      <c r="F99" s="1"/>
    </row>
    <row r="100" spans="1:6" ht="21.95" customHeight="1">
      <c r="A100" s="1"/>
      <c r="B100" s="1"/>
      <c r="C100" s="1"/>
      <c r="D100" s="1"/>
      <c r="E100" s="1"/>
      <c r="F100" s="1"/>
    </row>
  </sheetData>
  <mergeCells count="2">
    <mergeCell ref="A36:F36"/>
    <mergeCell ref="A38:F38"/>
  </mergeCells>
  <dataValidations count="1">
    <dataValidation type="whole" sqref="D7:D19 D25:D32" xr:uid="{00000000-0002-0000-0200-000000000000}">
      <formula1>0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2" width="12" customWidth="1"/>
    <col min="3" max="3" width="47" customWidth="1"/>
    <col min="4" max="4" width="16" customWidth="1"/>
    <col min="5" max="5" width="57" customWidth="1"/>
  </cols>
  <sheetData>
    <row r="1" spans="1:5" ht="21.95" customHeight="1">
      <c r="A1" s="1"/>
      <c r="B1" s="1"/>
      <c r="C1" s="1"/>
      <c r="D1" s="1"/>
      <c r="E1" s="1"/>
    </row>
    <row r="2" spans="1:5" ht="30" customHeight="1">
      <c r="A2" s="2" t="s">
        <v>184</v>
      </c>
      <c r="B2" s="1"/>
      <c r="C2" s="1"/>
      <c r="D2" s="1"/>
      <c r="E2" s="1"/>
    </row>
    <row r="3" spans="1:5" ht="21.95" customHeight="1">
      <c r="A3" s="1"/>
      <c r="B3" s="1"/>
      <c r="C3" s="1"/>
      <c r="D3" s="1"/>
      <c r="E3" s="1"/>
    </row>
    <row r="4" spans="1:5" ht="21.95" customHeight="1">
      <c r="A4" s="1"/>
      <c r="B4" s="1"/>
      <c r="C4" s="1"/>
      <c r="D4" s="1"/>
      <c r="E4" s="1"/>
    </row>
    <row r="5" spans="1:5" ht="21.95" customHeight="1">
      <c r="A5" s="1"/>
      <c r="B5" s="1"/>
      <c r="C5" s="1"/>
      <c r="D5" s="1"/>
      <c r="E5" s="1"/>
    </row>
    <row r="6" spans="1:5" ht="32.1" customHeight="1">
      <c r="A6" s="4" t="s">
        <v>185</v>
      </c>
      <c r="B6" s="4" t="s">
        <v>68</v>
      </c>
      <c r="C6" s="4" t="s">
        <v>186</v>
      </c>
      <c r="D6" s="4" t="s">
        <v>187</v>
      </c>
      <c r="E6" s="4" t="s">
        <v>188</v>
      </c>
    </row>
    <row r="7" spans="1:5" ht="36" customHeight="1">
      <c r="A7" s="5" t="s">
        <v>189</v>
      </c>
      <c r="B7" s="5" t="s">
        <v>59</v>
      </c>
      <c r="C7" s="5" t="s">
        <v>190</v>
      </c>
      <c r="D7" s="12">
        <v>1</v>
      </c>
      <c r="E7" s="5" t="s">
        <v>191</v>
      </c>
    </row>
    <row r="8" spans="1:5" ht="36" customHeight="1">
      <c r="A8" s="6" t="s">
        <v>192</v>
      </c>
      <c r="B8" s="6" t="s">
        <v>59</v>
      </c>
      <c r="C8" s="6" t="s">
        <v>193</v>
      </c>
      <c r="D8" s="12">
        <v>3</v>
      </c>
      <c r="E8" s="6" t="s">
        <v>194</v>
      </c>
    </row>
    <row r="9" spans="1:5" ht="36" customHeight="1">
      <c r="A9" s="5" t="s">
        <v>195</v>
      </c>
      <c r="B9" s="5" t="s">
        <v>59</v>
      </c>
      <c r="C9" s="5" t="s">
        <v>196</v>
      </c>
      <c r="D9" s="12">
        <v>2</v>
      </c>
      <c r="E9" s="5" t="s">
        <v>197</v>
      </c>
    </row>
    <row r="10" spans="1:5" ht="36" customHeight="1">
      <c r="A10" s="6" t="s">
        <v>198</v>
      </c>
      <c r="B10" s="6" t="s">
        <v>59</v>
      </c>
      <c r="C10" s="6" t="s">
        <v>199</v>
      </c>
      <c r="D10" s="12">
        <v>2</v>
      </c>
      <c r="E10" s="6" t="s">
        <v>200</v>
      </c>
    </row>
    <row r="11" spans="1:5" ht="36" customHeight="1">
      <c r="A11" s="5" t="s">
        <v>201</v>
      </c>
      <c r="B11" s="5" t="s">
        <v>202</v>
      </c>
      <c r="C11" s="5" t="s">
        <v>203</v>
      </c>
      <c r="D11" s="12">
        <v>2</v>
      </c>
      <c r="E11" s="5" t="s">
        <v>204</v>
      </c>
    </row>
    <row r="12" spans="1:5" ht="36" customHeight="1">
      <c r="A12" s="6" t="s">
        <v>205</v>
      </c>
      <c r="B12" s="6" t="s">
        <v>59</v>
      </c>
      <c r="C12" s="6" t="s">
        <v>206</v>
      </c>
      <c r="D12" s="12">
        <v>4</v>
      </c>
      <c r="E12" s="6" t="s">
        <v>207</v>
      </c>
    </row>
    <row r="13" spans="1:5" ht="36" customHeight="1">
      <c r="A13" s="5" t="s">
        <v>208</v>
      </c>
      <c r="B13" s="5" t="s">
        <v>59</v>
      </c>
      <c r="C13" s="5" t="s">
        <v>209</v>
      </c>
      <c r="D13" s="12">
        <v>3</v>
      </c>
      <c r="E13" s="5" t="s">
        <v>210</v>
      </c>
    </row>
    <row r="14" spans="1:5" ht="36" customHeight="1">
      <c r="A14" s="6" t="s">
        <v>211</v>
      </c>
      <c r="B14" s="6" t="s">
        <v>59</v>
      </c>
      <c r="C14" s="6" t="s">
        <v>212</v>
      </c>
      <c r="D14" s="12">
        <v>2</v>
      </c>
      <c r="E14" s="6" t="s">
        <v>213</v>
      </c>
    </row>
    <row r="15" spans="1:5" ht="36" customHeight="1">
      <c r="A15" s="5" t="s">
        <v>214</v>
      </c>
      <c r="B15" s="5" t="s">
        <v>59</v>
      </c>
      <c r="C15" s="5" t="s">
        <v>215</v>
      </c>
      <c r="D15" s="12">
        <v>3</v>
      </c>
      <c r="E15" s="5" t="s">
        <v>216</v>
      </c>
    </row>
    <row r="16" spans="1:5" ht="36" customHeight="1">
      <c r="A16" s="6" t="s">
        <v>217</v>
      </c>
      <c r="B16" s="6" t="s">
        <v>59</v>
      </c>
      <c r="C16" s="6" t="s">
        <v>218</v>
      </c>
      <c r="D16" s="12">
        <v>3</v>
      </c>
      <c r="E16" s="6" t="s">
        <v>219</v>
      </c>
    </row>
    <row r="17" spans="1:5" ht="36" customHeight="1">
      <c r="A17" s="5" t="s">
        <v>220</v>
      </c>
      <c r="B17" s="5" t="s">
        <v>202</v>
      </c>
      <c r="C17" s="5" t="s">
        <v>221</v>
      </c>
      <c r="D17" s="12">
        <v>2</v>
      </c>
      <c r="E17" s="5" t="s">
        <v>204</v>
      </c>
    </row>
    <row r="18" spans="1:5" ht="36" customHeight="1">
      <c r="A18" s="6" t="s">
        <v>222</v>
      </c>
      <c r="B18" s="6" t="s">
        <v>59</v>
      </c>
      <c r="C18" s="6" t="s">
        <v>223</v>
      </c>
      <c r="D18" s="12">
        <v>4</v>
      </c>
      <c r="E18" s="6" t="s">
        <v>224</v>
      </c>
    </row>
    <row r="19" spans="1:5" ht="36" customHeight="1">
      <c r="A19" s="5" t="s">
        <v>225</v>
      </c>
      <c r="B19" s="5" t="s">
        <v>59</v>
      </c>
      <c r="C19" s="5" t="s">
        <v>226</v>
      </c>
      <c r="D19" s="12">
        <v>6</v>
      </c>
      <c r="E19" s="5" t="s">
        <v>227</v>
      </c>
    </row>
    <row r="20" spans="1:5" ht="36" customHeight="1">
      <c r="A20" s="6" t="s">
        <v>228</v>
      </c>
      <c r="B20" s="6" t="s">
        <v>59</v>
      </c>
      <c r="C20" s="6" t="s">
        <v>229</v>
      </c>
      <c r="D20" s="12">
        <v>3</v>
      </c>
      <c r="E20" s="6" t="s">
        <v>230</v>
      </c>
    </row>
    <row r="21" spans="1:5" ht="36" customHeight="1">
      <c r="A21" s="5" t="s">
        <v>231</v>
      </c>
      <c r="B21" s="5" t="s">
        <v>59</v>
      </c>
      <c r="C21" s="5" t="s">
        <v>232</v>
      </c>
      <c r="D21" s="12">
        <v>3</v>
      </c>
      <c r="E21" s="5" t="s">
        <v>233</v>
      </c>
    </row>
    <row r="22" spans="1:5" ht="36" customHeight="1">
      <c r="A22" s="6" t="s">
        <v>234</v>
      </c>
      <c r="B22" s="6" t="s">
        <v>202</v>
      </c>
      <c r="C22" s="6" t="s">
        <v>235</v>
      </c>
      <c r="D22" s="12">
        <v>2</v>
      </c>
      <c r="E22" s="6" t="s">
        <v>204</v>
      </c>
    </row>
    <row r="23" spans="1:5" ht="36" customHeight="1">
      <c r="A23" s="5" t="s">
        <v>236</v>
      </c>
      <c r="B23" s="5" t="s">
        <v>59</v>
      </c>
      <c r="C23" s="5" t="s">
        <v>237</v>
      </c>
      <c r="D23" s="12">
        <v>5</v>
      </c>
      <c r="E23" s="5" t="s">
        <v>238</v>
      </c>
    </row>
    <row r="24" spans="1:5" ht="36" customHeight="1">
      <c r="A24" s="6" t="s">
        <v>239</v>
      </c>
      <c r="B24" s="6" t="s">
        <v>59</v>
      </c>
      <c r="C24" s="6" t="s">
        <v>240</v>
      </c>
      <c r="D24" s="12">
        <v>5</v>
      </c>
      <c r="E24" s="6" t="s">
        <v>241</v>
      </c>
    </row>
    <row r="25" spans="1:5" ht="36" customHeight="1">
      <c r="A25" s="5" t="s">
        <v>242</v>
      </c>
      <c r="B25" s="5" t="s">
        <v>59</v>
      </c>
      <c r="C25" s="5" t="s">
        <v>243</v>
      </c>
      <c r="D25" s="12">
        <v>3</v>
      </c>
      <c r="E25" s="5" t="s">
        <v>244</v>
      </c>
    </row>
    <row r="26" spans="1:5" ht="36" customHeight="1">
      <c r="A26" s="6" t="s">
        <v>245</v>
      </c>
      <c r="B26" s="6" t="s">
        <v>202</v>
      </c>
      <c r="C26" s="6" t="s">
        <v>246</v>
      </c>
      <c r="D26" s="12">
        <v>2</v>
      </c>
      <c r="E26" s="6" t="s">
        <v>204</v>
      </c>
    </row>
    <row r="27" spans="1:5" ht="36" customHeight="1">
      <c r="A27" s="5" t="s">
        <v>247</v>
      </c>
      <c r="B27" s="5" t="s">
        <v>59</v>
      </c>
      <c r="C27" s="5" t="s">
        <v>248</v>
      </c>
      <c r="D27" s="12">
        <v>4</v>
      </c>
      <c r="E27" s="5" t="s">
        <v>249</v>
      </c>
    </row>
    <row r="28" spans="1:5" ht="36" customHeight="1">
      <c r="A28" s="6" t="s">
        <v>250</v>
      </c>
      <c r="B28" s="6" t="s">
        <v>59</v>
      </c>
      <c r="C28" s="6" t="s">
        <v>251</v>
      </c>
      <c r="D28" s="12">
        <v>6</v>
      </c>
      <c r="E28" s="6" t="s">
        <v>252</v>
      </c>
    </row>
    <row r="29" spans="1:5" ht="36" customHeight="1">
      <c r="A29" s="5" t="s">
        <v>253</v>
      </c>
      <c r="B29" s="5" t="s">
        <v>59</v>
      </c>
      <c r="C29" s="5" t="s">
        <v>254</v>
      </c>
      <c r="D29" s="12">
        <v>3</v>
      </c>
      <c r="E29" s="5" t="s">
        <v>255</v>
      </c>
    </row>
    <row r="30" spans="1:5" ht="36" customHeight="1">
      <c r="A30" s="6" t="s">
        <v>256</v>
      </c>
      <c r="B30" s="6" t="s">
        <v>59</v>
      </c>
      <c r="C30" s="6" t="s">
        <v>257</v>
      </c>
      <c r="D30" s="12">
        <v>2</v>
      </c>
      <c r="E30" s="6" t="s">
        <v>258</v>
      </c>
    </row>
    <row r="31" spans="1:5" ht="36" customHeight="1">
      <c r="A31" s="5" t="s">
        <v>259</v>
      </c>
      <c r="B31" s="5" t="s">
        <v>202</v>
      </c>
      <c r="C31" s="5" t="s">
        <v>260</v>
      </c>
      <c r="D31" s="12">
        <v>1</v>
      </c>
      <c r="E31" s="5" t="s">
        <v>204</v>
      </c>
    </row>
    <row r="32" spans="1:5" ht="21.95" customHeight="1">
      <c r="A32" s="1"/>
      <c r="B32" s="1"/>
      <c r="C32" s="1"/>
      <c r="D32" s="1"/>
      <c r="E32" s="1"/>
    </row>
    <row r="33" spans="1:5" ht="21.95" customHeight="1">
      <c r="A33" s="1"/>
      <c r="B33" s="1"/>
      <c r="C33" s="1"/>
      <c r="D33" s="1"/>
      <c r="E33" s="1"/>
    </row>
    <row r="34" spans="1:5" ht="32.1" customHeight="1">
      <c r="A34" s="20" t="s">
        <v>261</v>
      </c>
      <c r="B34" s="21"/>
      <c r="C34" s="21"/>
      <c r="D34" s="21"/>
      <c r="E34" s="21"/>
    </row>
    <row r="35" spans="1:5" ht="21.95" customHeight="1">
      <c r="A35" s="1"/>
      <c r="B35" s="1"/>
      <c r="C35" s="1"/>
      <c r="D35" s="1"/>
      <c r="E35" s="1"/>
    </row>
    <row r="36" spans="1:5" ht="21.95" customHeight="1">
      <c r="A36" s="1"/>
      <c r="B36" s="1"/>
      <c r="C36" s="1"/>
      <c r="D36" s="1"/>
      <c r="E36" s="1"/>
    </row>
    <row r="37" spans="1:5" ht="21.95" customHeight="1">
      <c r="A37" s="1"/>
      <c r="B37" s="1"/>
      <c r="C37" s="1"/>
      <c r="D37" s="1"/>
      <c r="E37" s="1"/>
    </row>
    <row r="38" spans="1:5" ht="21.95" customHeight="1">
      <c r="A38" s="1"/>
      <c r="B38" s="1"/>
      <c r="C38" s="1"/>
      <c r="D38" s="1"/>
      <c r="E38" s="1"/>
    </row>
    <row r="39" spans="1:5" ht="21.95" customHeight="1">
      <c r="A39" s="1"/>
      <c r="B39" s="1"/>
      <c r="C39" s="1"/>
      <c r="D39" s="1"/>
      <c r="E39" s="1"/>
    </row>
    <row r="40" spans="1:5" ht="21.95" customHeight="1">
      <c r="A40" s="1"/>
      <c r="B40" s="1"/>
      <c r="C40" s="1"/>
      <c r="D40" s="1"/>
      <c r="E40" s="1"/>
    </row>
    <row r="41" spans="1:5" ht="21.95" customHeight="1">
      <c r="A41" s="1"/>
      <c r="B41" s="1"/>
      <c r="C41" s="1"/>
      <c r="D41" s="1"/>
      <c r="E41" s="1"/>
    </row>
    <row r="42" spans="1:5" ht="21.95" customHeight="1">
      <c r="A42" s="1"/>
      <c r="B42" s="1"/>
      <c r="C42" s="1"/>
      <c r="D42" s="1"/>
      <c r="E42" s="1"/>
    </row>
    <row r="43" spans="1:5" ht="21.95" customHeight="1">
      <c r="A43" s="1"/>
      <c r="B43" s="1"/>
      <c r="C43" s="1"/>
      <c r="D43" s="1"/>
      <c r="E43" s="1"/>
    </row>
    <row r="44" spans="1:5" ht="21.95" customHeight="1">
      <c r="A44" s="1"/>
      <c r="B44" s="1"/>
      <c r="C44" s="1"/>
      <c r="D44" s="1"/>
      <c r="E44" s="1"/>
    </row>
    <row r="45" spans="1:5" ht="21.95" customHeight="1">
      <c r="A45" s="1"/>
      <c r="B45" s="1"/>
      <c r="C45" s="1"/>
      <c r="D45" s="1"/>
      <c r="E45" s="1"/>
    </row>
    <row r="46" spans="1:5" ht="21.95" customHeight="1">
      <c r="A46" s="1"/>
      <c r="B46" s="1"/>
      <c r="C46" s="1"/>
      <c r="D46" s="1"/>
      <c r="E46" s="1"/>
    </row>
    <row r="47" spans="1:5" ht="21.95" customHeight="1">
      <c r="A47" s="1"/>
      <c r="B47" s="1"/>
      <c r="C47" s="1"/>
      <c r="D47" s="1"/>
      <c r="E47" s="1"/>
    </row>
    <row r="48" spans="1:5" ht="21.95" customHeight="1">
      <c r="A48" s="1"/>
      <c r="B48" s="1"/>
      <c r="C48" s="1"/>
      <c r="D48" s="1"/>
      <c r="E48" s="1"/>
    </row>
    <row r="49" spans="1:5" ht="21.95" customHeight="1">
      <c r="A49" s="1"/>
      <c r="B49" s="1"/>
      <c r="C49" s="1"/>
      <c r="D49" s="1"/>
      <c r="E49" s="1"/>
    </row>
    <row r="50" spans="1:5" ht="21.95" customHeight="1">
      <c r="A50" s="1"/>
      <c r="B50" s="1"/>
      <c r="C50" s="1"/>
      <c r="D50" s="1"/>
      <c r="E50" s="1"/>
    </row>
    <row r="51" spans="1:5" ht="21.95" customHeight="1">
      <c r="A51" s="1"/>
      <c r="B51" s="1"/>
      <c r="C51" s="1"/>
      <c r="D51" s="1"/>
      <c r="E51" s="1"/>
    </row>
    <row r="52" spans="1:5" ht="21.95" customHeight="1">
      <c r="A52" s="1"/>
      <c r="B52" s="1"/>
      <c r="C52" s="1"/>
      <c r="D52" s="1"/>
      <c r="E52" s="1"/>
    </row>
    <row r="53" spans="1:5" ht="21.95" customHeight="1">
      <c r="A53" s="1"/>
      <c r="B53" s="1"/>
      <c r="C53" s="1"/>
      <c r="D53" s="1"/>
      <c r="E53" s="1"/>
    </row>
    <row r="54" spans="1:5" ht="21.95" customHeight="1">
      <c r="A54" s="1"/>
      <c r="B54" s="1"/>
      <c r="C54" s="1"/>
      <c r="D54" s="1"/>
      <c r="E54" s="1"/>
    </row>
    <row r="55" spans="1:5" ht="21.95" customHeight="1">
      <c r="A55" s="1"/>
      <c r="B55" s="1"/>
      <c r="C55" s="1"/>
      <c r="D55" s="1"/>
      <c r="E55" s="1"/>
    </row>
    <row r="56" spans="1:5" ht="21.95" customHeight="1">
      <c r="A56" s="1"/>
      <c r="B56" s="1"/>
      <c r="C56" s="1"/>
      <c r="D56" s="1"/>
      <c r="E56" s="1"/>
    </row>
    <row r="57" spans="1:5" ht="21.95" customHeight="1">
      <c r="A57" s="1"/>
      <c r="B57" s="1"/>
      <c r="C57" s="1"/>
      <c r="D57" s="1"/>
      <c r="E57" s="1"/>
    </row>
    <row r="58" spans="1:5" ht="21.95" customHeight="1">
      <c r="A58" s="1"/>
      <c r="B58" s="1"/>
      <c r="C58" s="1"/>
      <c r="D58" s="1"/>
      <c r="E58" s="1"/>
    </row>
    <row r="59" spans="1:5" ht="21.95" customHeight="1">
      <c r="A59" s="1"/>
      <c r="B59" s="1"/>
      <c r="C59" s="1"/>
      <c r="D59" s="1"/>
      <c r="E59" s="1"/>
    </row>
    <row r="60" spans="1:5" ht="21.95" customHeight="1">
      <c r="A60" s="1"/>
      <c r="B60" s="1"/>
      <c r="C60" s="1"/>
      <c r="D60" s="1"/>
      <c r="E60" s="1"/>
    </row>
    <row r="61" spans="1:5" ht="21.95" customHeight="1">
      <c r="A61" s="1"/>
      <c r="B61" s="1"/>
      <c r="C61" s="1"/>
      <c r="D61" s="1"/>
      <c r="E61" s="1"/>
    </row>
    <row r="62" spans="1:5" ht="21.95" customHeight="1">
      <c r="A62" s="1"/>
      <c r="B62" s="1"/>
      <c r="C62" s="1"/>
      <c r="D62" s="1"/>
      <c r="E62" s="1"/>
    </row>
    <row r="63" spans="1:5" ht="21.95" customHeight="1">
      <c r="A63" s="1"/>
      <c r="B63" s="1"/>
      <c r="C63" s="1"/>
      <c r="D63" s="1"/>
      <c r="E63" s="1"/>
    </row>
    <row r="64" spans="1:5" ht="21.95" customHeight="1">
      <c r="A64" s="1"/>
      <c r="B64" s="1"/>
      <c r="C64" s="1"/>
      <c r="D64" s="1"/>
      <c r="E64" s="1"/>
    </row>
    <row r="65" spans="1:5" ht="21.95" customHeight="1">
      <c r="A65" s="1"/>
      <c r="B65" s="1"/>
      <c r="C65" s="1"/>
      <c r="D65" s="1"/>
      <c r="E65" s="1"/>
    </row>
    <row r="66" spans="1:5" ht="21.95" customHeight="1">
      <c r="A66" s="1"/>
      <c r="B66" s="1"/>
      <c r="C66" s="1"/>
      <c r="D66" s="1"/>
      <c r="E66" s="1"/>
    </row>
    <row r="67" spans="1:5" ht="21.95" customHeight="1">
      <c r="A67" s="1"/>
      <c r="B67" s="1"/>
      <c r="C67" s="1"/>
      <c r="D67" s="1"/>
      <c r="E67" s="1"/>
    </row>
    <row r="68" spans="1:5" ht="21.95" customHeight="1">
      <c r="A68" s="1"/>
      <c r="B68" s="1"/>
      <c r="C68" s="1"/>
      <c r="D68" s="1"/>
      <c r="E68" s="1"/>
    </row>
    <row r="69" spans="1:5" ht="21.95" customHeight="1">
      <c r="A69" s="1"/>
      <c r="B69" s="1"/>
      <c r="C69" s="1"/>
      <c r="D69" s="1"/>
      <c r="E69" s="1"/>
    </row>
    <row r="70" spans="1:5" ht="21.95" customHeight="1">
      <c r="A70" s="1"/>
      <c r="B70" s="1"/>
      <c r="C70" s="1"/>
      <c r="D70" s="1"/>
      <c r="E70" s="1"/>
    </row>
    <row r="71" spans="1:5" ht="21.95" customHeight="1">
      <c r="A71" s="1"/>
      <c r="B71" s="1"/>
      <c r="C71" s="1"/>
      <c r="D71" s="1"/>
      <c r="E71" s="1"/>
    </row>
    <row r="72" spans="1:5" ht="21.95" customHeight="1">
      <c r="A72" s="1"/>
      <c r="B72" s="1"/>
      <c r="C72" s="1"/>
      <c r="D72" s="1"/>
      <c r="E72" s="1"/>
    </row>
    <row r="73" spans="1:5" ht="21.95" customHeight="1">
      <c r="A73" s="1"/>
      <c r="B73" s="1"/>
      <c r="C73" s="1"/>
      <c r="D73" s="1"/>
      <c r="E73" s="1"/>
    </row>
    <row r="74" spans="1:5" ht="21.95" customHeight="1">
      <c r="A74" s="1"/>
      <c r="B74" s="1"/>
      <c r="C74" s="1"/>
      <c r="D74" s="1"/>
      <c r="E74" s="1"/>
    </row>
    <row r="75" spans="1:5" ht="21.95" customHeight="1">
      <c r="A75" s="1"/>
      <c r="B75" s="1"/>
      <c r="C75" s="1"/>
      <c r="D75" s="1"/>
      <c r="E75" s="1"/>
    </row>
    <row r="76" spans="1:5" ht="21.95" customHeight="1">
      <c r="A76" s="1"/>
      <c r="B76" s="1"/>
      <c r="C76" s="1"/>
      <c r="D76" s="1"/>
      <c r="E76" s="1"/>
    </row>
    <row r="77" spans="1:5" ht="21.95" customHeight="1">
      <c r="A77" s="1"/>
      <c r="B77" s="1"/>
      <c r="C77" s="1"/>
      <c r="D77" s="1"/>
      <c r="E77" s="1"/>
    </row>
    <row r="78" spans="1:5" ht="21.95" customHeight="1">
      <c r="A78" s="1"/>
      <c r="B78" s="1"/>
      <c r="C78" s="1"/>
      <c r="D78" s="1"/>
      <c r="E78" s="1"/>
    </row>
    <row r="79" spans="1:5" ht="21.95" customHeight="1">
      <c r="A79" s="1"/>
      <c r="B79" s="1"/>
      <c r="C79" s="1"/>
      <c r="D79" s="1"/>
      <c r="E79" s="1"/>
    </row>
    <row r="80" spans="1:5" ht="21.95" customHeight="1">
      <c r="A80" s="1"/>
      <c r="B80" s="1"/>
      <c r="C80" s="1"/>
      <c r="D80" s="1"/>
      <c r="E80" s="1"/>
    </row>
    <row r="81" spans="1:5" ht="21.95" customHeight="1">
      <c r="A81" s="1"/>
      <c r="B81" s="1"/>
      <c r="C81" s="1"/>
      <c r="D81" s="1"/>
      <c r="E81" s="1"/>
    </row>
    <row r="82" spans="1:5" ht="21.95" customHeight="1">
      <c r="A82" s="1"/>
      <c r="B82" s="1"/>
      <c r="C82" s="1"/>
      <c r="D82" s="1"/>
      <c r="E82" s="1"/>
    </row>
    <row r="83" spans="1:5" ht="21.95" customHeight="1">
      <c r="A83" s="1"/>
      <c r="B83" s="1"/>
      <c r="C83" s="1"/>
      <c r="D83" s="1"/>
      <c r="E83" s="1"/>
    </row>
    <row r="84" spans="1:5" ht="21.95" customHeight="1">
      <c r="A84" s="1"/>
      <c r="B84" s="1"/>
      <c r="C84" s="1"/>
      <c r="D84" s="1"/>
      <c r="E84" s="1"/>
    </row>
    <row r="85" spans="1:5" ht="21.95" customHeight="1">
      <c r="A85" s="1"/>
      <c r="B85" s="1"/>
      <c r="C85" s="1"/>
      <c r="D85" s="1"/>
      <c r="E85" s="1"/>
    </row>
    <row r="86" spans="1:5" ht="21.95" customHeight="1">
      <c r="A86" s="1"/>
      <c r="B86" s="1"/>
      <c r="C86" s="1"/>
      <c r="D86" s="1"/>
      <c r="E86" s="1"/>
    </row>
    <row r="87" spans="1:5" ht="21.95" customHeight="1">
      <c r="A87" s="1"/>
      <c r="B87" s="1"/>
      <c r="C87" s="1"/>
      <c r="D87" s="1"/>
      <c r="E87" s="1"/>
    </row>
    <row r="88" spans="1:5" ht="21.95" customHeight="1">
      <c r="A88" s="1"/>
      <c r="B88" s="1"/>
      <c r="C88" s="1"/>
      <c r="D88" s="1"/>
      <c r="E88" s="1"/>
    </row>
    <row r="89" spans="1:5" ht="21.95" customHeight="1">
      <c r="A89" s="1"/>
      <c r="B89" s="1"/>
      <c r="C89" s="1"/>
      <c r="D89" s="1"/>
      <c r="E89" s="1"/>
    </row>
    <row r="90" spans="1:5" ht="21.95" customHeight="1">
      <c r="A90" s="1"/>
      <c r="B90" s="1"/>
      <c r="C90" s="1"/>
      <c r="D90" s="1"/>
      <c r="E90" s="1"/>
    </row>
    <row r="91" spans="1:5" ht="21.95" customHeight="1">
      <c r="A91" s="1"/>
      <c r="B91" s="1"/>
      <c r="C91" s="1"/>
      <c r="D91" s="1"/>
      <c r="E91" s="1"/>
    </row>
    <row r="92" spans="1:5" ht="21.95" customHeight="1">
      <c r="A92" s="1"/>
      <c r="B92" s="1"/>
      <c r="C92" s="1"/>
      <c r="D92" s="1"/>
      <c r="E92" s="1"/>
    </row>
    <row r="93" spans="1:5" ht="21.95" customHeight="1">
      <c r="A93" s="1"/>
      <c r="B93" s="1"/>
      <c r="C93" s="1"/>
      <c r="D93" s="1"/>
      <c r="E93" s="1"/>
    </row>
    <row r="94" spans="1:5" ht="21.95" customHeight="1">
      <c r="A94" s="1"/>
      <c r="B94" s="1"/>
      <c r="C94" s="1"/>
      <c r="D94" s="1"/>
      <c r="E94" s="1"/>
    </row>
    <row r="95" spans="1:5" ht="21.95" customHeight="1">
      <c r="A95" s="1"/>
      <c r="B95" s="1"/>
      <c r="C95" s="1"/>
      <c r="D95" s="1"/>
      <c r="E95" s="1"/>
    </row>
    <row r="96" spans="1:5" ht="21.95" customHeight="1">
      <c r="A96" s="1"/>
      <c r="B96" s="1"/>
      <c r="C96" s="1"/>
      <c r="D96" s="1"/>
      <c r="E96" s="1"/>
    </row>
    <row r="97" spans="1:5" ht="21.95" customHeight="1">
      <c r="A97" s="1"/>
      <c r="B97" s="1"/>
      <c r="C97" s="1"/>
      <c r="D97" s="1"/>
      <c r="E97" s="1"/>
    </row>
    <row r="98" spans="1:5" ht="21.95" customHeight="1">
      <c r="A98" s="1"/>
      <c r="B98" s="1"/>
      <c r="C98" s="1"/>
      <c r="D98" s="1"/>
      <c r="E98" s="1"/>
    </row>
    <row r="99" spans="1:5" ht="21.95" customHeight="1">
      <c r="A99" s="1"/>
      <c r="B99" s="1"/>
      <c r="C99" s="1"/>
      <c r="D99" s="1"/>
      <c r="E99" s="1"/>
    </row>
    <row r="100" spans="1:5" ht="21.95" customHeight="1">
      <c r="A100" s="1"/>
      <c r="B100" s="1"/>
      <c r="C100" s="1"/>
      <c r="D100" s="1"/>
      <c r="E100" s="1"/>
    </row>
  </sheetData>
  <mergeCells count="1">
    <mergeCell ref="A34:E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12" customWidth="1"/>
    <col min="2" max="2" width="42" customWidth="1"/>
    <col min="3" max="3" width="12" customWidth="1"/>
    <col min="4" max="4" width="14" customWidth="1"/>
    <col min="5" max="5" width="12" customWidth="1"/>
    <col min="6" max="6" width="25" customWidth="1"/>
  </cols>
  <sheetData>
    <row r="2" spans="1:6" ht="20.25" customHeight="1">
      <c r="A2" s="16" t="s">
        <v>262</v>
      </c>
    </row>
    <row r="4" spans="1:6">
      <c r="A4" s="17" t="s">
        <v>263</v>
      </c>
    </row>
    <row r="6" spans="1:6" ht="44.1" customHeight="1">
      <c r="A6" s="18" t="s">
        <v>264</v>
      </c>
      <c r="B6" s="18" t="s">
        <v>265</v>
      </c>
      <c r="C6" s="18" t="s">
        <v>266</v>
      </c>
      <c r="D6" s="18" t="s">
        <v>267</v>
      </c>
      <c r="E6" s="18" t="s">
        <v>79</v>
      </c>
      <c r="F6" s="18" t="s">
        <v>268</v>
      </c>
    </row>
    <row r="7" spans="1:6" ht="44.1" customHeight="1">
      <c r="A7" s="3" t="s">
        <v>269</v>
      </c>
      <c r="B7" s="3" t="s">
        <v>270</v>
      </c>
      <c r="C7" s="3" t="s">
        <v>82</v>
      </c>
      <c r="D7" s="3" t="s">
        <v>81</v>
      </c>
      <c r="E7" s="3" t="s">
        <v>84</v>
      </c>
      <c r="F7" s="3" t="s">
        <v>271</v>
      </c>
    </row>
    <row r="8" spans="1:6" ht="44.1" customHeight="1">
      <c r="A8" s="19" t="s">
        <v>272</v>
      </c>
      <c r="B8" s="19" t="s">
        <v>273</v>
      </c>
      <c r="C8" s="19" t="s">
        <v>82</v>
      </c>
      <c r="D8" s="19" t="s">
        <v>81</v>
      </c>
      <c r="E8" s="19" t="s">
        <v>84</v>
      </c>
      <c r="F8" s="19" t="s">
        <v>274</v>
      </c>
    </row>
    <row r="9" spans="1:6" ht="44.1" customHeight="1">
      <c r="A9" s="3" t="s">
        <v>275</v>
      </c>
      <c r="B9" s="3" t="s">
        <v>276</v>
      </c>
      <c r="C9" s="3" t="s">
        <v>82</v>
      </c>
      <c r="D9" s="3" t="s">
        <v>81</v>
      </c>
      <c r="E9" s="3" t="s">
        <v>84</v>
      </c>
      <c r="F9" s="3" t="s">
        <v>277</v>
      </c>
    </row>
    <row r="10" spans="1:6" ht="44.1" customHeight="1">
      <c r="A10" s="19" t="s">
        <v>278</v>
      </c>
      <c r="B10" s="19" t="s">
        <v>279</v>
      </c>
      <c r="C10" s="19" t="s">
        <v>82</v>
      </c>
      <c r="D10" s="19" t="s">
        <v>81</v>
      </c>
      <c r="E10" s="19" t="s">
        <v>84</v>
      </c>
      <c r="F10" s="19" t="s">
        <v>280</v>
      </c>
    </row>
    <row r="11" spans="1:6" ht="44.1" customHeight="1">
      <c r="A11" s="3" t="s">
        <v>281</v>
      </c>
      <c r="B11" s="3" t="s">
        <v>282</v>
      </c>
      <c r="C11" s="3" t="s">
        <v>87</v>
      </c>
      <c r="D11" s="3" t="s">
        <v>86</v>
      </c>
      <c r="E11" s="3" t="s">
        <v>84</v>
      </c>
      <c r="F11" s="3" t="s">
        <v>283</v>
      </c>
    </row>
    <row r="12" spans="1:6" ht="44.1" customHeight="1">
      <c r="A12" s="19" t="s">
        <v>284</v>
      </c>
      <c r="B12" s="19" t="s">
        <v>285</v>
      </c>
      <c r="C12" s="19" t="s">
        <v>87</v>
      </c>
      <c r="D12" s="19" t="s">
        <v>86</v>
      </c>
      <c r="E12" s="19" t="s">
        <v>84</v>
      </c>
      <c r="F12" s="19" t="s">
        <v>286</v>
      </c>
    </row>
    <row r="13" spans="1:6" ht="44.1" customHeight="1">
      <c r="A13" s="3" t="s">
        <v>287</v>
      </c>
      <c r="B13" s="3" t="s">
        <v>288</v>
      </c>
      <c r="C13" s="3" t="s">
        <v>87</v>
      </c>
      <c r="D13" s="3" t="s">
        <v>86</v>
      </c>
      <c r="E13" s="3" t="s">
        <v>84</v>
      </c>
      <c r="F13" s="3" t="s">
        <v>289</v>
      </c>
    </row>
    <row r="14" spans="1:6" ht="44.1" customHeight="1">
      <c r="A14" s="19" t="s">
        <v>290</v>
      </c>
      <c r="B14" s="19" t="s">
        <v>291</v>
      </c>
      <c r="C14" s="19" t="s">
        <v>87</v>
      </c>
      <c r="D14" s="19" t="s">
        <v>86</v>
      </c>
      <c r="E14" s="19" t="s">
        <v>84</v>
      </c>
      <c r="F14" s="19" t="s">
        <v>292</v>
      </c>
    </row>
    <row r="15" spans="1:6" ht="44.1" customHeight="1">
      <c r="A15" s="3" t="s">
        <v>293</v>
      </c>
      <c r="B15" s="3" t="s">
        <v>294</v>
      </c>
      <c r="C15" s="3" t="s">
        <v>91</v>
      </c>
      <c r="D15" s="3" t="s">
        <v>90</v>
      </c>
      <c r="E15" s="3" t="s">
        <v>93</v>
      </c>
      <c r="F15" s="3" t="s">
        <v>295</v>
      </c>
    </row>
    <row r="16" spans="1:6" ht="44.1" customHeight="1">
      <c r="A16" s="19" t="s">
        <v>296</v>
      </c>
      <c r="B16" s="19" t="s">
        <v>297</v>
      </c>
      <c r="C16" s="19" t="s">
        <v>91</v>
      </c>
      <c r="D16" s="19" t="s">
        <v>90</v>
      </c>
      <c r="E16" s="19" t="s">
        <v>93</v>
      </c>
      <c r="F16" s="19" t="s">
        <v>298</v>
      </c>
    </row>
    <row r="17" spans="1:6" ht="44.1" customHeight="1">
      <c r="A17" s="3" t="s">
        <v>299</v>
      </c>
      <c r="B17" s="3" t="s">
        <v>300</v>
      </c>
      <c r="C17" s="3" t="s">
        <v>91</v>
      </c>
      <c r="D17" s="3" t="s">
        <v>90</v>
      </c>
      <c r="E17" s="3" t="s">
        <v>93</v>
      </c>
      <c r="F17" s="3" t="s">
        <v>301</v>
      </c>
    </row>
    <row r="18" spans="1:6" ht="44.1" customHeight="1">
      <c r="A18" s="19" t="s">
        <v>302</v>
      </c>
      <c r="B18" s="19" t="s">
        <v>303</v>
      </c>
      <c r="C18" s="19" t="s">
        <v>91</v>
      </c>
      <c r="D18" s="19" t="s">
        <v>90</v>
      </c>
      <c r="E18" s="19" t="s">
        <v>93</v>
      </c>
      <c r="F18" s="19" t="s">
        <v>304</v>
      </c>
    </row>
    <row r="19" spans="1:6" ht="44.1" customHeight="1">
      <c r="A19" s="3" t="s">
        <v>305</v>
      </c>
      <c r="B19" s="3" t="s">
        <v>306</v>
      </c>
      <c r="C19" s="3" t="s">
        <v>96</v>
      </c>
      <c r="D19" s="3" t="s">
        <v>95</v>
      </c>
      <c r="E19" s="3" t="s">
        <v>93</v>
      </c>
      <c r="F19" s="3" t="s">
        <v>307</v>
      </c>
    </row>
    <row r="20" spans="1:6" ht="44.1" customHeight="1">
      <c r="A20" s="19" t="s">
        <v>308</v>
      </c>
      <c r="B20" s="19" t="s">
        <v>309</v>
      </c>
      <c r="C20" s="19" t="s">
        <v>96</v>
      </c>
      <c r="D20" s="19" t="s">
        <v>95</v>
      </c>
      <c r="E20" s="19" t="s">
        <v>93</v>
      </c>
      <c r="F20" s="19" t="s">
        <v>310</v>
      </c>
    </row>
    <row r="21" spans="1:6" ht="44.1" customHeight="1">
      <c r="A21" s="3" t="s">
        <v>311</v>
      </c>
      <c r="B21" s="3" t="s">
        <v>312</v>
      </c>
      <c r="C21" s="3" t="s">
        <v>96</v>
      </c>
      <c r="D21" s="3" t="s">
        <v>95</v>
      </c>
      <c r="E21" s="3" t="s">
        <v>93</v>
      </c>
      <c r="F21" s="3" t="s">
        <v>313</v>
      </c>
    </row>
    <row r="22" spans="1:6" ht="44.1" customHeight="1">
      <c r="A22" s="19" t="s">
        <v>314</v>
      </c>
      <c r="B22" s="19" t="s">
        <v>315</v>
      </c>
      <c r="C22" s="19" t="s">
        <v>96</v>
      </c>
      <c r="D22" s="19" t="s">
        <v>95</v>
      </c>
      <c r="E22" s="19" t="s">
        <v>93</v>
      </c>
      <c r="F22" s="19" t="s">
        <v>316</v>
      </c>
    </row>
    <row r="23" spans="1:6" ht="44.1" customHeight="1">
      <c r="A23" s="3" t="s">
        <v>317</v>
      </c>
      <c r="B23" s="3" t="s">
        <v>318</v>
      </c>
      <c r="C23" s="3" t="s">
        <v>96</v>
      </c>
      <c r="D23" s="3" t="s">
        <v>95</v>
      </c>
      <c r="E23" s="3" t="s">
        <v>93</v>
      </c>
      <c r="F23" s="3" t="s">
        <v>319</v>
      </c>
    </row>
    <row r="24" spans="1:6" ht="44.1" customHeight="1">
      <c r="A24" s="19" t="s">
        <v>320</v>
      </c>
      <c r="B24" s="19" t="s">
        <v>101</v>
      </c>
      <c r="C24" s="19" t="s">
        <v>100</v>
      </c>
      <c r="D24" s="19" t="s">
        <v>99</v>
      </c>
      <c r="E24" s="19" t="s">
        <v>102</v>
      </c>
      <c r="F24" s="19" t="s">
        <v>321</v>
      </c>
    </row>
    <row r="25" spans="1:6" ht="44.1" customHeight="1">
      <c r="A25" s="3" t="s">
        <v>322</v>
      </c>
      <c r="B25" s="3" t="s">
        <v>106</v>
      </c>
      <c r="C25" s="3" t="s">
        <v>105</v>
      </c>
      <c r="D25" s="3" t="s">
        <v>104</v>
      </c>
      <c r="E25" s="3" t="s">
        <v>107</v>
      </c>
      <c r="F25" s="3" t="s">
        <v>323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Estimativa</vt:lpstr>
      <vt:lpstr>Atores e casos</vt:lpstr>
      <vt:lpstr>Fatores</vt:lpstr>
      <vt:lpstr>Esforco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Medeiros</cp:lastModifiedBy>
  <dcterms:created xsi:type="dcterms:W3CDTF">2026-10-27T23:10:01Z</dcterms:created>
  <dcterms:modified xsi:type="dcterms:W3CDTF">2026-10-28T07:10:18Z</dcterms:modified>
</cp:coreProperties>
</file>