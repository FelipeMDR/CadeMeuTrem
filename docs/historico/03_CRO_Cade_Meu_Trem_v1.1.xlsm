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leases" sheetId="1" r:id="rId4"/>
    <sheet state="visible" name="Atividades" sheetId="2" r:id="rId5"/>
    <sheet state="visible" name="Disponibilidade" sheetId="3" r:id="rId6"/>
    <sheet state="visible" name="Gantt" sheetId="4" r:id="rId7"/>
  </sheets>
  <definedNames/>
  <calcPr/>
  <extLst>
    <ext uri="GoogleSheetsCustomDataVersion2">
      <go:sheetsCustomData xmlns:go="http://customooxmlschemas.google.com/" r:id="rId8" roundtripDataChecksum="ZlN+FJDQ01zDxGpW2rAQLB70EzcI+sA1HrUQJSK/50k="/>
    </ext>
  </extLst>
</workbook>
</file>

<file path=xl/sharedStrings.xml><?xml version="1.0" encoding="utf-8"?>
<sst xmlns="http://schemas.openxmlformats.org/spreadsheetml/2006/main" count="305" uniqueCount="169">
  <si>
    <t>Cronograma por release</t>
  </si>
  <si>
    <t>CRO 1.1 | Equipe: Antony Souza Siqueira e Felipe Santana Medeiros | 19/10 a 19/11/2026</t>
  </si>
  <si>
    <t>Release</t>
  </si>
  <si>
    <t>Início trabalho</t>
  </si>
  <si>
    <t>Limite entrega</t>
  </si>
  <si>
    <t>Base h</t>
  </si>
  <si>
    <t>Reserva h</t>
  </si>
  <si>
    <t>Total h</t>
  </si>
  <si>
    <t>Capacidade h</t>
  </si>
  <si>
    <t>Entrega</t>
  </si>
  <si>
    <t>R0</t>
  </si>
  <si>
    <t>Documentação e branch de análise</t>
  </si>
  <si>
    <t>R1</t>
  </si>
  <si>
    <t>Pessoas e categorias</t>
  </si>
  <si>
    <t>R2</t>
  </si>
  <si>
    <t>Objetos e empréstimos</t>
  </si>
  <si>
    <t>R3</t>
  </si>
  <si>
    <t>Relatório de pendências</t>
  </si>
  <si>
    <t>R4</t>
  </si>
  <si>
    <t>Histórico e entrega final</t>
  </si>
  <si>
    <t>TOTAL</t>
  </si>
  <si>
    <t>Marcos oficiais: R0 20–22/10; R1 27–29/10; R2 03–05/11; R3 10–12/11; R4 17–19/11. Trabalho preparatório antecede a apresentação.</t>
  </si>
  <si>
    <t>Custo hora didático</t>
  </si>
  <si>
    <t>R$ 30/h é um valor fictício para exercício de planejamento. Não representa salário, contratação ou desembolso. Custo planejado = horas × taxa.</t>
  </si>
  <si>
    <t>Base R$</t>
  </si>
  <si>
    <t>Com reserva R$</t>
  </si>
  <si>
    <t>Disponibilidade planejada: 18 h/semana, sendo 2 h por dia útil e 4 h no sábado e no domingo. Na preparação da R0: 3 h em 19/10, 3 h em 20/10, 2 h em 21/10 e 2 h em 22/10.</t>
  </si>
  <si>
    <t>Fonte: Cronograma SDES06_2026-2-3.docx, p. 3 e 4. Capacidade baseada na agenda de Antony; horas adicionais de Felipe a combinar.</t>
  </si>
  <si>
    <t>Amarelo = campo editável. Datas e horas da linha de base permanecem preservadas; alterações são registradas nas colunas atuais. Não há reagendamento automático por dependências.</t>
  </si>
  <si>
    <t>Carga total planejada: 76 h, incluindo 9 h de reserva. A capacidade total de 82 h deixa 6 h livres. Se a disponibilidade real cair, revisar o plano antes de prometer novas funcionalidades.</t>
  </si>
  <si>
    <t>Linha de base e acompanhamento</t>
  </si>
  <si>
    <t>ID</t>
  </si>
  <si>
    <t>Atividade</t>
  </si>
  <si>
    <t>Início base</t>
  </si>
  <si>
    <t>Fim base</t>
  </si>
  <si>
    <t>Horas base</t>
  </si>
  <si>
    <t>Início atual</t>
  </si>
  <si>
    <t>Fim atual</t>
  </si>
  <si>
    <t>Horas atuais</t>
  </si>
  <si>
    <t>Horas reais</t>
  </si>
  <si>
    <t>Concluído</t>
  </si>
  <si>
    <t>Desvio fim dias</t>
  </si>
  <si>
    <t>Desvio h plano</t>
  </si>
  <si>
    <t>Situação</t>
  </si>
  <si>
    <t>Dependência</t>
  </si>
  <si>
    <t>Entrega verificável</t>
  </si>
  <si>
    <t>A01</t>
  </si>
  <si>
    <t>Definir escopo e regras</t>
  </si>
  <si>
    <t>DRE seções 1 e 2</t>
  </si>
  <si>
    <t>A02</t>
  </si>
  <si>
    <t>Especificar requisitos e critérios</t>
  </si>
  <si>
    <t>DRE completo</t>
  </si>
  <si>
    <t>A03</t>
  </si>
  <si>
    <t>Estimar tamanho e rastrear requisitos</t>
  </si>
  <si>
    <t>EST e MRB</t>
  </si>
  <si>
    <t>A04</t>
  </si>
  <si>
    <t>Planejar e versionar a análise</t>
  </si>
  <si>
    <t>A03; B00 se usada</t>
  </si>
  <si>
    <t>CRO e branch analise/release-0</t>
  </si>
  <si>
    <t>B00</t>
  </si>
  <si>
    <t>Reserva para revisão cruzada</t>
  </si>
  <si>
    <t>Correções se necessárias</t>
  </si>
  <si>
    <t>A05</t>
  </si>
  <si>
    <t>Preparar base local e estrutura comum</t>
  </si>
  <si>
    <t>PHP e SQLite com dados de exemplo</t>
  </si>
  <si>
    <t>A06</t>
  </si>
  <si>
    <t>Implementar CRUD de pessoas</t>
  </si>
  <si>
    <t>RF01 e UC01</t>
  </si>
  <si>
    <t>A07</t>
  </si>
  <si>
    <t>Implementar CRUD de categorias</t>
  </si>
  <si>
    <t>RF02 e UC02</t>
  </si>
  <si>
    <t>A08</t>
  </si>
  <si>
    <t>Automatizar testes dos dois CRUDs</t>
  </si>
  <si>
    <t>CT01 e CT02 e base Selenium</t>
  </si>
  <si>
    <t>A09</t>
  </si>
  <si>
    <t>Revisar documentos e apresentar R1</t>
  </si>
  <si>
    <t>A08; B01 se usada</t>
  </si>
  <si>
    <t>Cronograma atualizado e tag release-1</t>
  </si>
  <si>
    <t>B01</t>
  </si>
  <si>
    <t>Reserva de correção R1</t>
  </si>
  <si>
    <t>A10</t>
  </si>
  <si>
    <t>Implementar CRUD de objetos</t>
  </si>
  <si>
    <t>RF03 e UC03</t>
  </si>
  <si>
    <t>A11</t>
  </si>
  <si>
    <t>Implementar empréstimos e devolução</t>
  </si>
  <si>
    <t>RF04 e UC04</t>
  </si>
  <si>
    <t>A12</t>
  </si>
  <si>
    <t>Testar integridade e fluxos completos</t>
  </si>
  <si>
    <t>CT03 a CT06 e CT10 e CT13</t>
  </si>
  <si>
    <t>A13</t>
  </si>
  <si>
    <t>Revisar documentos e apresentar R2</t>
  </si>
  <si>
    <t>A12; B02 se usada</t>
  </si>
  <si>
    <t>Cronograma atualizado e tag release-2</t>
  </si>
  <si>
    <t>B02</t>
  </si>
  <si>
    <t>Reserva de correção R2</t>
  </si>
  <si>
    <t>A14</t>
  </si>
  <si>
    <t>Implementar relatório de pendências</t>
  </si>
  <si>
    <t>RF05 e UC05</t>
  </si>
  <si>
    <t>A15</t>
  </si>
  <si>
    <t>Testar filtros e atraso</t>
  </si>
  <si>
    <t>CT07 e CT09 e CT12</t>
  </si>
  <si>
    <t>A16</t>
  </si>
  <si>
    <t>Revisar documentos e apresentar R3</t>
  </si>
  <si>
    <t>A15; B03 se usada</t>
  </si>
  <si>
    <t>Cronograma atualizado e tag release-3</t>
  </si>
  <si>
    <t>B03</t>
  </si>
  <si>
    <t>Reserva de correção R3</t>
  </si>
  <si>
    <t>A17</t>
  </si>
  <si>
    <t>Implementar histórico de empréstimos</t>
  </si>
  <si>
    <t>RF06 e UC06</t>
  </si>
  <si>
    <t>A18</t>
  </si>
  <si>
    <t>Executar regressão e verificar instalação</t>
  </si>
  <si>
    <t>CT01 a CT14</t>
  </si>
  <si>
    <t>A19</t>
  </si>
  <si>
    <t>Consolidar manual e documentação</t>
  </si>
  <si>
    <t>Instruções de execução e documentação final</t>
  </si>
  <si>
    <t>A20</t>
  </si>
  <si>
    <t>Versionar e apresentar entrega final</t>
  </si>
  <si>
    <t>A19; B04 se usada</t>
  </si>
  <si>
    <t>Tag release-4 e demonstração</t>
  </si>
  <si>
    <t>B04</t>
  </si>
  <si>
    <t>Reserva final de correção</t>
  </si>
  <si>
    <t>Horas reais em branco e conclusão em 0% são campos iniciais de acompanhamento, não evidência de trabalho executado. Registrar execução após cada sessão de trabalho.</t>
  </si>
  <si>
    <t>Dependências indicam precedência lógica. Atividades na mesma data usam blocos de horas distintos, detalhados em Disponibilidade. Reservas são utilizadas antes da versão final de cada release.</t>
  </si>
  <si>
    <t>Disponibilidade de referência de Antony</t>
  </si>
  <si>
    <t>Data</t>
  </si>
  <si>
    <t>Alocação h</t>
  </si>
  <si>
    <t>Saldo h</t>
  </si>
  <si>
    <t>Distribuição planejada</t>
  </si>
  <si>
    <t>A01: 1 h; A02: 2 h</t>
  </si>
  <si>
    <t>A02: 1 h; A03: 2 h</t>
  </si>
  <si>
    <t>B00: 2 h</t>
  </si>
  <si>
    <t>A04: 2 h</t>
  </si>
  <si>
    <t>A05: 1 h</t>
  </si>
  <si>
    <t>A05: 3 h; A06: 1 h</t>
  </si>
  <si>
    <t>A06: 2 h; A07: 2 h</t>
  </si>
  <si>
    <t>A08: 2 h</t>
  </si>
  <si>
    <t>A08: 1 h; B01: 1 h</t>
  </si>
  <si>
    <t>B01: 1 h; A09: 1 h</t>
  </si>
  <si>
    <t>A09: 2 h</t>
  </si>
  <si>
    <t>A10: 2 h</t>
  </si>
  <si>
    <t>A10: 2 h; A11: 2 h</t>
  </si>
  <si>
    <t>A11: 4 h</t>
  </si>
  <si>
    <t>A12: 2 h</t>
  </si>
  <si>
    <t>A12: 1 h; B02: 1 h</t>
  </si>
  <si>
    <t>B02: 1 h; A13: 1 h</t>
  </si>
  <si>
    <t>A13: 2 h</t>
  </si>
  <si>
    <t>Livre</t>
  </si>
  <si>
    <t>A14: 3 h</t>
  </si>
  <si>
    <t>A14: 2 h; A15: 2 h</t>
  </si>
  <si>
    <t>A15: 2 h</t>
  </si>
  <si>
    <t>A15: 1 h; B03: 1 h</t>
  </si>
  <si>
    <t>B03: 1 h; A16: 1 h</t>
  </si>
  <si>
    <t>A16: 2 h</t>
  </si>
  <si>
    <t>A17: 4 h</t>
  </si>
  <si>
    <t>A18: 4 h</t>
  </si>
  <si>
    <t>A18: 2 h</t>
  </si>
  <si>
    <t>A19: 2 h</t>
  </si>
  <si>
    <t>A19: 1 h; B04: 1 h</t>
  </si>
  <si>
    <t>A20: 2 h</t>
  </si>
  <si>
    <t>Planejamento pessoal inclui fins de semana. A disponibilidade é uma escolha de organização e não um registro de presença ou dedicação já realizada.</t>
  </si>
  <si>
    <t>Ao mudar datas ou horas em Atividades, redistribuir esta agenda; mudanças de capacidade ficam vermelhas se ultrapassadas pela alocação.</t>
  </si>
  <si>
    <t>Gantt das entregas</t>
  </si>
  <si>
    <t>R0 19–22/10</t>
  </si>
  <si>
    <t>R1 23–29/10</t>
  </si>
  <si>
    <t>R2 30/10–05/11</t>
  </si>
  <si>
    <t>R3 06–12/11</t>
  </si>
  <si>
    <t>R4 13–19/11</t>
  </si>
  <si>
    <t>Gantt acompanha as datas atuais de Atividades. Os pontos indicam a janela da release, não progresso realizado.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</si>
</sst>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/mm/yyyy"/>
    <numFmt numFmtId="165" formatCode="&quot;R$ &quot;#,##0.00"/>
    <numFmt numFmtId="166" formatCode="[=1]&quot;●&quot;;[=0]&quot;&quot;"/>
  </numFmts>
  <fonts count="4">
    <font>
      <sz val="11.0"/>
      <color rgb="FF000000"/>
      <name val="Carlito"/>
      <scheme val="minor"/>
    </font>
    <font>
      <sz val="10.0"/>
      <color rgb="FF222222"/>
      <name val="Arial"/>
    </font>
    <font>
      <b/>
      <sz val="16.0"/>
      <color rgb="FF000000"/>
      <name val="Arial"/>
    </font>
    <font>
      <b/>
      <sz val="10.0"/>
      <color rgb="FFFFFFFF"/>
      <name val="Arial"/>
    </font>
  </fonts>
  <fills count="6">
    <fill>
      <patternFill patternType="none"/>
    </fill>
    <fill>
      <patternFill patternType="lightGray"/>
    </fill>
    <fill>
      <patternFill patternType="solid">
        <fgColor rgb="FF3D4542"/>
        <bgColor rgb="FF3D4542"/>
      </patternFill>
    </fill>
    <fill>
      <patternFill patternType="solid">
        <fgColor rgb="FFFFFFFF"/>
        <bgColor rgb="FFFFFFFF"/>
      </patternFill>
    </fill>
    <fill>
      <patternFill patternType="solid">
        <fgColor rgb="FFF2F4F2"/>
        <bgColor rgb="FFF2F4F2"/>
      </patternFill>
    </fill>
    <fill>
      <patternFill patternType="solid">
        <fgColor rgb="FFFFF0CF"/>
        <bgColor rgb="FFFFF0CF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0" fillId="0" fontId="1" numFmtId="0" xfId="0" applyAlignment="1" applyFont="1">
      <alignment readingOrder="0" shrinkToFit="0" vertical="center" wrapText="1"/>
    </xf>
    <xf borderId="1" fillId="2" fontId="3" numFmtId="0" xfId="0" applyAlignment="1" applyBorder="1" applyFill="1" applyFont="1">
      <alignment shrinkToFit="0" vertical="center" wrapText="1"/>
    </xf>
    <xf borderId="1" fillId="3" fontId="1" numFmtId="0" xfId="0" applyAlignment="1" applyBorder="1" applyFill="1" applyFont="1">
      <alignment shrinkToFit="0" vertical="center" wrapText="1"/>
    </xf>
    <xf borderId="1" fillId="3" fontId="1" numFmtId="164" xfId="0" applyAlignment="1" applyBorder="1" applyFill="1" applyFont="1" applyNumberFormat="1">
      <alignment shrinkToFit="0" vertical="center" wrapText="1"/>
    </xf>
    <xf borderId="1" fillId="4" fontId="1" numFmtId="0" xfId="0" applyAlignment="1" applyBorder="1" applyFill="1" applyFont="1">
      <alignment shrinkToFit="0" vertical="center" wrapText="1"/>
    </xf>
    <xf borderId="1" fillId="4" fontId="1" numFmtId="164" xfId="0" applyAlignment="1" applyBorder="1" applyFill="1" applyFont="1" applyNumberFormat="1">
      <alignment shrinkToFit="0" vertical="center" wrapText="1"/>
    </xf>
    <xf borderId="0" fillId="0" fontId="1" numFmtId="0" xfId="0" applyAlignment="1" applyFont="1">
      <alignment shrinkToFit="0" vertical="center" wrapText="1"/>
    </xf>
    <xf borderId="1" fillId="5" fontId="1" numFmtId="165" xfId="0" applyAlignment="1" applyBorder="1" applyFill="1" applyFont="1" applyNumberFormat="1">
      <alignment vertical="center"/>
    </xf>
    <xf borderId="0" fillId="0" fontId="1" numFmtId="165" xfId="0" applyAlignment="1" applyFont="1" applyNumberFormat="1">
      <alignment vertical="center"/>
    </xf>
    <xf borderId="1" fillId="5" fontId="1" numFmtId="164" xfId="0" applyAlignment="1" applyBorder="1" applyFill="1" applyFont="1" applyNumberFormat="1">
      <alignment shrinkToFit="0" vertical="center" wrapText="1"/>
    </xf>
    <xf borderId="1" fillId="5" fontId="1" numFmtId="0" xfId="0" applyAlignment="1" applyBorder="1" applyFill="1" applyFont="1">
      <alignment shrinkToFit="0" vertical="center" wrapText="1"/>
    </xf>
    <xf borderId="1" fillId="5" fontId="1" numFmtId="9" xfId="0" applyAlignment="1" applyBorder="1" applyFill="1" applyFont="1" applyNumberFormat="1">
      <alignment shrinkToFit="0" vertical="center" wrapText="1"/>
    </xf>
    <xf borderId="1" fillId="3" fontId="1" numFmtId="166" xfId="0" applyAlignment="1" applyBorder="1" applyFill="1" applyFont="1" applyNumberFormat="1">
      <alignment horizontal="center" shrinkToFit="0" vertical="center" wrapText="1"/>
    </xf>
    <xf borderId="1" fillId="4" fontId="1" numFmtId="166" xfId="0" applyAlignment="1" applyBorder="1" applyFill="1" applyFont="1" applyNumberFormat="1">
      <alignment horizontal="center" shrinkToFit="0" vertical="center" wrapText="1"/>
    </xf>
  </cellXfs>
  <cellStyles count="1">
    <cellStyle xfId="0" name="Normal" builtinId="0"/>
  </cellStyles>
  <dxfs count="2">
    <dxf>
      <font/>
      <fill>
        <patternFill patternType="solid">
          <fgColor rgb="FFF8DCDD"/>
          <bgColor rgb="FFF8DCDD"/>
        </patternFill>
      </fill>
      <border/>
    </dxf>
    <dxf>
      <font>
        <color rgb="FF23533A"/>
      </font>
      <fill>
        <patternFill patternType="solid">
          <fgColor rgb="FFE2EEE6"/>
          <bgColor rgb="FFE2EEE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16.0"/>
    <col customWidth="1" min="2" max="7" width="18.0"/>
    <col customWidth="1" min="8" max="8" width="44.0"/>
    <col customWidth="1" min="9" max="26" width="8.63"/>
  </cols>
  <sheetData>
    <row r="1" ht="21.75" customHeight="1">
      <c r="A1" s="1"/>
      <c r="B1" s="1"/>
      <c r="C1" s="1"/>
      <c r="D1" s="1"/>
      <c r="E1" s="1"/>
      <c r="F1" s="1"/>
      <c r="G1" s="1"/>
      <c r="H1" s="1"/>
    </row>
    <row r="2" ht="30.0" customHeight="1">
      <c r="A2" s="2" t="s">
        <v>0</v>
      </c>
      <c r="B2" s="1"/>
      <c r="C2" s="1"/>
      <c r="D2" s="1"/>
      <c r="E2" s="1"/>
      <c r="F2" s="1"/>
      <c r="G2" s="1"/>
      <c r="H2" s="1"/>
    </row>
    <row r="3" ht="21.75" customHeight="1">
      <c r="A3" s="1"/>
      <c r="B3" s="1"/>
      <c r="C3" s="1"/>
      <c r="D3" s="1"/>
      <c r="E3" s="1"/>
      <c r="F3" s="1"/>
      <c r="G3" s="1"/>
      <c r="H3" s="1"/>
    </row>
    <row r="4" ht="31.5" customHeight="1">
      <c r="A4" s="3" t="s">
        <v>1</v>
      </c>
    </row>
    <row r="5" ht="21.75" customHeight="1">
      <c r="A5" s="1"/>
      <c r="B5" s="1"/>
      <c r="C5" s="1"/>
      <c r="D5" s="1"/>
      <c r="E5" s="1"/>
      <c r="F5" s="1"/>
      <c r="G5" s="1"/>
      <c r="H5" s="1"/>
    </row>
    <row r="6" ht="31.5" customHeight="1">
      <c r="A6" s="4" t="s">
        <v>2</v>
      </c>
      <c r="B6" s="4" t="s">
        <v>3</v>
      </c>
      <c r="C6" s="4" t="s">
        <v>4</v>
      </c>
      <c r="D6" s="4" t="s">
        <v>5</v>
      </c>
      <c r="E6" s="4" t="s">
        <v>6</v>
      </c>
      <c r="F6" s="4" t="s">
        <v>7</v>
      </c>
      <c r="G6" s="4" t="s">
        <v>8</v>
      </c>
      <c r="H6" s="4" t="s">
        <v>9</v>
      </c>
    </row>
    <row r="7" ht="42.0" customHeight="1">
      <c r="A7" s="5" t="s">
        <v>10</v>
      </c>
      <c r="B7" s="6">
        <v>46314.0</v>
      </c>
      <c r="C7" s="6">
        <v>46317.0</v>
      </c>
      <c r="D7" s="5">
        <f>SUM(Atividades!F7,Atividades!F8,Atividades!F9,Atividades!F10)</f>
        <v>8</v>
      </c>
      <c r="E7" s="5">
        <f>SUM(Atividades!F11)</f>
        <v>2</v>
      </c>
      <c r="F7" s="5">
        <f t="shared" ref="F7:F11" si="1">D7+E7</f>
        <v>10</v>
      </c>
      <c r="G7" s="5">
        <f>SUMIF(Disponibilidade!B7:B38,A7,Disponibilidade!C7:C38)</f>
        <v>10</v>
      </c>
      <c r="H7" s="5" t="s">
        <v>11</v>
      </c>
    </row>
    <row r="8" ht="42.0" customHeight="1">
      <c r="A8" s="7" t="s">
        <v>12</v>
      </c>
      <c r="B8" s="8">
        <v>46318.0</v>
      </c>
      <c r="C8" s="8">
        <v>46324.0</v>
      </c>
      <c r="D8" s="7">
        <f>SUM(Atividades!F12,Atividades!F13,Atividades!F14,Atividades!F15,Atividades!F16)</f>
        <v>15</v>
      </c>
      <c r="E8" s="7">
        <f>SUM(Atividades!F17)</f>
        <v>2</v>
      </c>
      <c r="F8" s="7">
        <f t="shared" si="1"/>
        <v>17</v>
      </c>
      <c r="G8" s="7">
        <f>SUMIF(Disponibilidade!B7:B38,A8,Disponibilidade!C7:C38)</f>
        <v>18</v>
      </c>
      <c r="H8" s="7" t="s">
        <v>13</v>
      </c>
    </row>
    <row r="9" ht="42.0" customHeight="1">
      <c r="A9" s="5" t="s">
        <v>14</v>
      </c>
      <c r="B9" s="6">
        <v>46325.0</v>
      </c>
      <c r="C9" s="6">
        <v>46331.0</v>
      </c>
      <c r="D9" s="5">
        <f>SUM(Atividades!F18,Atividades!F19,Atividades!F20,Atividades!F21)</f>
        <v>16</v>
      </c>
      <c r="E9" s="5">
        <f>SUM(Atividades!F22)</f>
        <v>2</v>
      </c>
      <c r="F9" s="5">
        <f t="shared" si="1"/>
        <v>18</v>
      </c>
      <c r="G9" s="5">
        <f>SUMIF(Disponibilidade!B7:B38,A9,Disponibilidade!C7:C38)</f>
        <v>18</v>
      </c>
      <c r="H9" s="5" t="s">
        <v>15</v>
      </c>
    </row>
    <row r="10" ht="42.0" customHeight="1">
      <c r="A10" s="7" t="s">
        <v>16</v>
      </c>
      <c r="B10" s="8">
        <v>46332.0</v>
      </c>
      <c r="C10" s="8">
        <v>46338.0</v>
      </c>
      <c r="D10" s="7">
        <f>SUM(Atividades!F23,Atividades!F24,Atividades!F25)</f>
        <v>13</v>
      </c>
      <c r="E10" s="7">
        <f>SUM(Atividades!F26)</f>
        <v>2</v>
      </c>
      <c r="F10" s="7">
        <f t="shared" si="1"/>
        <v>15</v>
      </c>
      <c r="G10" s="7">
        <f>SUMIF(Disponibilidade!B7:B38,A10,Disponibilidade!C7:C38)</f>
        <v>18</v>
      </c>
      <c r="H10" s="7" t="s">
        <v>17</v>
      </c>
    </row>
    <row r="11" ht="42.0" customHeight="1">
      <c r="A11" s="5" t="s">
        <v>18</v>
      </c>
      <c r="B11" s="6">
        <v>46339.0</v>
      </c>
      <c r="C11" s="6">
        <v>46345.0</v>
      </c>
      <c r="D11" s="5">
        <f>SUM(Atividades!F27,Atividades!F28,Atividades!F29,Atividades!F30)</f>
        <v>15</v>
      </c>
      <c r="E11" s="5">
        <f>SUM(Atividades!F31)</f>
        <v>1</v>
      </c>
      <c r="F11" s="5">
        <f t="shared" si="1"/>
        <v>16</v>
      </c>
      <c r="G11" s="5">
        <f>SUMIF(Disponibilidade!B7:B38,A11,Disponibilidade!C7:C38)</f>
        <v>18</v>
      </c>
      <c r="H11" s="5" t="s">
        <v>19</v>
      </c>
    </row>
    <row r="12" ht="21.75" customHeight="1">
      <c r="A12" s="1"/>
      <c r="B12" s="1"/>
      <c r="C12" s="1"/>
      <c r="D12" s="1"/>
      <c r="E12" s="1"/>
      <c r="F12" s="1"/>
      <c r="G12" s="1"/>
      <c r="H12" s="1"/>
    </row>
    <row r="13" ht="21.75" customHeight="1">
      <c r="A13" s="1" t="s">
        <v>20</v>
      </c>
      <c r="B13" s="1"/>
      <c r="C13" s="1"/>
      <c r="D13" s="1">
        <f t="shared" ref="D13:G13" si="2">SUM(D7:D11)</f>
        <v>67</v>
      </c>
      <c r="E13" s="1">
        <f t="shared" si="2"/>
        <v>9</v>
      </c>
      <c r="F13" s="1">
        <f t="shared" si="2"/>
        <v>76</v>
      </c>
      <c r="G13" s="1">
        <f t="shared" si="2"/>
        <v>82</v>
      </c>
      <c r="H13" s="1"/>
    </row>
    <row r="14" ht="21.75" customHeight="1">
      <c r="A14" s="1"/>
      <c r="B14" s="1"/>
      <c r="C14" s="1"/>
      <c r="D14" s="1"/>
      <c r="E14" s="1"/>
      <c r="F14" s="1"/>
      <c r="G14" s="1"/>
      <c r="H14" s="1"/>
    </row>
    <row r="15" ht="31.5" customHeight="1">
      <c r="A15" s="9" t="s">
        <v>21</v>
      </c>
    </row>
    <row r="16" ht="21.75" customHeight="1">
      <c r="A16" s="1"/>
      <c r="B16" s="1"/>
      <c r="C16" s="1"/>
      <c r="D16" s="1"/>
      <c r="E16" s="1"/>
      <c r="F16" s="1"/>
      <c r="G16" s="1"/>
      <c r="H16" s="1"/>
    </row>
    <row r="17" ht="21.75" customHeight="1">
      <c r="A17" s="1" t="s">
        <v>22</v>
      </c>
      <c r="B17" s="10">
        <v>30.0</v>
      </c>
      <c r="C17" s="1"/>
      <c r="D17" s="1"/>
      <c r="E17" s="1"/>
      <c r="F17" s="1"/>
      <c r="G17" s="1"/>
      <c r="H17" s="1"/>
    </row>
    <row r="18" ht="21.75" customHeight="1">
      <c r="A18" s="1"/>
      <c r="B18" s="1"/>
      <c r="C18" s="1"/>
      <c r="D18" s="1"/>
      <c r="E18" s="1"/>
      <c r="F18" s="1"/>
      <c r="G18" s="1"/>
      <c r="H18" s="1"/>
    </row>
    <row r="19" ht="31.5" customHeight="1">
      <c r="A19" s="9" t="s">
        <v>23</v>
      </c>
    </row>
    <row r="20" ht="21.75" customHeight="1">
      <c r="A20" s="1"/>
      <c r="B20" s="1"/>
      <c r="C20" s="1"/>
      <c r="D20" s="1"/>
      <c r="E20" s="1"/>
      <c r="F20" s="1"/>
      <c r="G20" s="1"/>
      <c r="H20" s="1"/>
    </row>
    <row r="21" ht="21.75" customHeight="1">
      <c r="A21" s="1" t="s">
        <v>24</v>
      </c>
      <c r="B21" s="11">
        <f>D13*B17</f>
        <v>2010</v>
      </c>
      <c r="C21" s="1"/>
      <c r="D21" s="1" t="s">
        <v>25</v>
      </c>
      <c r="E21" s="11">
        <f>F13*B17</f>
        <v>2280</v>
      </c>
      <c r="F21" s="1"/>
      <c r="G21" s="1"/>
      <c r="H21" s="1"/>
    </row>
    <row r="22" ht="21.75" customHeight="1">
      <c r="A22" s="1"/>
      <c r="B22" s="1"/>
      <c r="C22" s="1"/>
      <c r="D22" s="1"/>
      <c r="E22" s="1"/>
      <c r="F22" s="1"/>
      <c r="G22" s="1"/>
      <c r="H22" s="1"/>
    </row>
    <row r="23" ht="45.0" customHeight="1">
      <c r="A23" s="9" t="s">
        <v>26</v>
      </c>
    </row>
    <row r="24" ht="21.75" customHeight="1">
      <c r="A24" s="1"/>
      <c r="B24" s="1"/>
      <c r="C24" s="1"/>
      <c r="D24" s="1"/>
      <c r="E24" s="1"/>
      <c r="F24" s="1"/>
      <c r="G24" s="1"/>
      <c r="H24" s="1"/>
    </row>
    <row r="25" ht="31.5" customHeight="1">
      <c r="A25" s="9" t="s">
        <v>27</v>
      </c>
    </row>
    <row r="26" ht="21.75" customHeight="1">
      <c r="A26" s="1"/>
      <c r="B26" s="1"/>
      <c r="C26" s="1"/>
      <c r="D26" s="1"/>
      <c r="E26" s="1"/>
      <c r="F26" s="1"/>
      <c r="G26" s="1"/>
      <c r="H26" s="1"/>
    </row>
    <row r="27" ht="31.5" customHeight="1">
      <c r="A27" s="9" t="s">
        <v>28</v>
      </c>
    </row>
    <row r="28" ht="21.75" customHeight="1">
      <c r="A28" s="1"/>
      <c r="B28" s="1"/>
      <c r="C28" s="1"/>
      <c r="D28" s="1"/>
      <c r="E28" s="1"/>
      <c r="F28" s="1"/>
      <c r="G28" s="1"/>
      <c r="H28" s="1"/>
    </row>
    <row r="29" ht="31.5" customHeight="1">
      <c r="A29" s="9" t="s">
        <v>29</v>
      </c>
    </row>
    <row r="30" ht="21.75" customHeight="1">
      <c r="A30" s="1"/>
      <c r="B30" s="1"/>
      <c r="C30" s="1"/>
      <c r="D30" s="1"/>
      <c r="E30" s="1"/>
      <c r="F30" s="1"/>
      <c r="G30" s="1"/>
      <c r="H30" s="1"/>
    </row>
    <row r="31" ht="21.75" customHeight="1">
      <c r="A31" s="1"/>
      <c r="B31" s="1"/>
      <c r="C31" s="1"/>
      <c r="D31" s="1"/>
      <c r="E31" s="1"/>
      <c r="F31" s="1"/>
      <c r="G31" s="1"/>
      <c r="H31" s="1"/>
    </row>
    <row r="32" ht="21.75" customHeight="1">
      <c r="A32" s="1"/>
      <c r="B32" s="1"/>
      <c r="C32" s="1"/>
      <c r="D32" s="1"/>
      <c r="E32" s="1"/>
      <c r="F32" s="1"/>
      <c r="G32" s="1"/>
      <c r="H32" s="1"/>
    </row>
    <row r="33" ht="21.75" customHeight="1">
      <c r="A33" s="1"/>
      <c r="B33" s="1"/>
      <c r="C33" s="1"/>
      <c r="D33" s="1"/>
      <c r="E33" s="1"/>
      <c r="F33" s="1"/>
      <c r="G33" s="1"/>
      <c r="H33" s="1"/>
    </row>
    <row r="34" ht="21.75" customHeight="1">
      <c r="A34" s="1"/>
      <c r="B34" s="1"/>
      <c r="C34" s="1"/>
      <c r="D34" s="1"/>
      <c r="E34" s="1"/>
      <c r="F34" s="1"/>
      <c r="G34" s="1"/>
      <c r="H34" s="1"/>
    </row>
    <row r="35" ht="21.75" customHeight="1">
      <c r="A35" s="1"/>
      <c r="B35" s="1"/>
      <c r="C35" s="1"/>
      <c r="D35" s="1"/>
      <c r="E35" s="1"/>
      <c r="F35" s="1"/>
      <c r="G35" s="1"/>
      <c r="H35" s="1"/>
    </row>
    <row r="36" ht="21.75" customHeight="1">
      <c r="A36" s="1"/>
      <c r="B36" s="1"/>
      <c r="C36" s="1"/>
      <c r="D36" s="1"/>
      <c r="E36" s="1"/>
      <c r="F36" s="1"/>
      <c r="G36" s="1"/>
      <c r="H36" s="1"/>
    </row>
    <row r="37" ht="21.75" customHeight="1">
      <c r="A37" s="1"/>
      <c r="B37" s="1"/>
      <c r="C37" s="1"/>
      <c r="D37" s="1"/>
      <c r="E37" s="1"/>
      <c r="F37" s="1"/>
      <c r="G37" s="1"/>
      <c r="H37" s="1"/>
    </row>
    <row r="38" ht="21.75" customHeight="1">
      <c r="A38" s="1"/>
      <c r="B38" s="1"/>
      <c r="C38" s="1"/>
      <c r="D38" s="1"/>
      <c r="E38" s="1"/>
      <c r="F38" s="1"/>
      <c r="G38" s="1"/>
      <c r="H38" s="1"/>
    </row>
    <row r="39" ht="21.75" customHeight="1">
      <c r="A39" s="1"/>
      <c r="B39" s="1"/>
      <c r="C39" s="1"/>
      <c r="D39" s="1"/>
      <c r="E39" s="1"/>
      <c r="F39" s="1"/>
      <c r="G39" s="1"/>
      <c r="H39" s="1"/>
    </row>
    <row r="40" ht="21.75" customHeight="1">
      <c r="A40" s="1"/>
      <c r="B40" s="1"/>
      <c r="C40" s="1"/>
      <c r="D40" s="1"/>
      <c r="E40" s="1"/>
      <c r="F40" s="1"/>
      <c r="G40" s="1"/>
      <c r="H40" s="1"/>
    </row>
    <row r="41" ht="21.75" customHeight="1">
      <c r="A41" s="1"/>
      <c r="B41" s="1"/>
      <c r="C41" s="1"/>
      <c r="D41" s="1"/>
      <c r="E41" s="1"/>
      <c r="F41" s="1"/>
      <c r="G41" s="1"/>
      <c r="H41" s="1"/>
    </row>
    <row r="42" ht="21.75" customHeight="1">
      <c r="A42" s="1"/>
      <c r="B42" s="1"/>
      <c r="C42" s="1"/>
      <c r="D42" s="1"/>
      <c r="E42" s="1"/>
      <c r="F42" s="1"/>
      <c r="G42" s="1"/>
      <c r="H42" s="1"/>
    </row>
    <row r="43" ht="21.75" customHeight="1">
      <c r="A43" s="1"/>
      <c r="B43" s="1"/>
      <c r="C43" s="1"/>
      <c r="D43" s="1"/>
      <c r="E43" s="1"/>
      <c r="F43" s="1"/>
      <c r="G43" s="1"/>
      <c r="H43" s="1"/>
    </row>
    <row r="44" ht="21.75" customHeight="1">
      <c r="A44" s="1"/>
      <c r="B44" s="1"/>
      <c r="C44" s="1"/>
      <c r="D44" s="1"/>
      <c r="E44" s="1"/>
      <c r="F44" s="1"/>
      <c r="G44" s="1"/>
      <c r="H44" s="1"/>
    </row>
    <row r="45" ht="21.75" customHeight="1">
      <c r="A45" s="1"/>
      <c r="B45" s="1"/>
      <c r="C45" s="1"/>
      <c r="D45" s="1"/>
      <c r="E45" s="1"/>
      <c r="F45" s="1"/>
      <c r="G45" s="1"/>
      <c r="H45" s="1"/>
    </row>
    <row r="46" ht="21.75" customHeight="1">
      <c r="A46" s="1"/>
      <c r="B46" s="1"/>
      <c r="C46" s="1"/>
      <c r="D46" s="1"/>
      <c r="E46" s="1"/>
      <c r="F46" s="1"/>
      <c r="G46" s="1"/>
      <c r="H46" s="1"/>
    </row>
    <row r="47" ht="21.75" customHeight="1">
      <c r="A47" s="1"/>
      <c r="B47" s="1"/>
      <c r="C47" s="1"/>
      <c r="D47" s="1"/>
      <c r="E47" s="1"/>
      <c r="F47" s="1"/>
      <c r="G47" s="1"/>
      <c r="H47" s="1"/>
    </row>
    <row r="48" ht="21.75" customHeight="1">
      <c r="A48" s="1"/>
      <c r="B48" s="1"/>
      <c r="C48" s="1"/>
      <c r="D48" s="1"/>
      <c r="E48" s="1"/>
      <c r="F48" s="1"/>
      <c r="G48" s="1"/>
      <c r="H48" s="1"/>
    </row>
    <row r="49" ht="21.75" customHeight="1">
      <c r="A49" s="1"/>
      <c r="B49" s="1"/>
      <c r="C49" s="1"/>
      <c r="D49" s="1"/>
      <c r="E49" s="1"/>
      <c r="F49" s="1"/>
      <c r="G49" s="1"/>
      <c r="H49" s="1"/>
    </row>
    <row r="50" ht="21.75" customHeight="1">
      <c r="A50" s="1"/>
      <c r="B50" s="1"/>
      <c r="C50" s="1"/>
      <c r="D50" s="1"/>
      <c r="E50" s="1"/>
      <c r="F50" s="1"/>
      <c r="G50" s="1"/>
      <c r="H50" s="1"/>
    </row>
    <row r="51" ht="21.75" customHeight="1">
      <c r="A51" s="1"/>
      <c r="B51" s="1"/>
      <c r="C51" s="1"/>
      <c r="D51" s="1"/>
      <c r="E51" s="1"/>
      <c r="F51" s="1"/>
      <c r="G51" s="1"/>
      <c r="H51" s="1"/>
    </row>
    <row r="52" ht="21.75" customHeight="1">
      <c r="A52" s="1"/>
      <c r="B52" s="1"/>
      <c r="C52" s="1"/>
      <c r="D52" s="1"/>
      <c r="E52" s="1"/>
      <c r="F52" s="1"/>
      <c r="G52" s="1"/>
      <c r="H52" s="1"/>
    </row>
    <row r="53" ht="21.75" customHeight="1">
      <c r="A53" s="1"/>
      <c r="B53" s="1"/>
      <c r="C53" s="1"/>
      <c r="D53" s="1"/>
      <c r="E53" s="1"/>
      <c r="F53" s="1"/>
      <c r="G53" s="1"/>
      <c r="H53" s="1"/>
    </row>
    <row r="54" ht="21.75" customHeight="1">
      <c r="A54" s="1"/>
      <c r="B54" s="1"/>
      <c r="C54" s="1"/>
      <c r="D54" s="1"/>
      <c r="E54" s="1"/>
      <c r="F54" s="1"/>
      <c r="G54" s="1"/>
      <c r="H54" s="1"/>
    </row>
    <row r="55" ht="21.75" customHeight="1">
      <c r="A55" s="1"/>
      <c r="B55" s="1"/>
      <c r="C55" s="1"/>
      <c r="D55" s="1"/>
      <c r="E55" s="1"/>
      <c r="F55" s="1"/>
      <c r="G55" s="1"/>
      <c r="H55" s="1"/>
    </row>
    <row r="56" ht="21.75" customHeight="1">
      <c r="A56" s="1"/>
      <c r="B56" s="1"/>
      <c r="C56" s="1"/>
      <c r="D56" s="1"/>
      <c r="E56" s="1"/>
      <c r="F56" s="1"/>
      <c r="G56" s="1"/>
      <c r="H56" s="1"/>
    </row>
    <row r="57" ht="21.75" customHeight="1">
      <c r="A57" s="1"/>
      <c r="B57" s="1"/>
      <c r="C57" s="1"/>
      <c r="D57" s="1"/>
      <c r="E57" s="1"/>
      <c r="F57" s="1"/>
      <c r="G57" s="1"/>
      <c r="H57" s="1"/>
    </row>
    <row r="58" ht="21.75" customHeight="1">
      <c r="A58" s="1"/>
      <c r="B58" s="1"/>
      <c r="C58" s="1"/>
      <c r="D58" s="1"/>
      <c r="E58" s="1"/>
      <c r="F58" s="1"/>
      <c r="G58" s="1"/>
      <c r="H58" s="1"/>
    </row>
    <row r="59" ht="21.75" customHeight="1">
      <c r="A59" s="1"/>
      <c r="B59" s="1"/>
      <c r="C59" s="1"/>
      <c r="D59" s="1"/>
      <c r="E59" s="1"/>
      <c r="F59" s="1"/>
      <c r="G59" s="1"/>
      <c r="H59" s="1"/>
    </row>
    <row r="60" ht="21.75" customHeight="1">
      <c r="A60" s="1"/>
      <c r="B60" s="1"/>
      <c r="C60" s="1"/>
      <c r="D60" s="1"/>
      <c r="E60" s="1"/>
      <c r="F60" s="1"/>
      <c r="G60" s="1"/>
      <c r="H60" s="1"/>
    </row>
    <row r="61" ht="21.75" customHeight="1">
      <c r="A61" s="1"/>
      <c r="B61" s="1"/>
      <c r="C61" s="1"/>
      <c r="D61" s="1"/>
      <c r="E61" s="1"/>
      <c r="F61" s="1"/>
      <c r="G61" s="1"/>
      <c r="H61" s="1"/>
    </row>
    <row r="62" ht="21.75" customHeight="1">
      <c r="A62" s="1"/>
      <c r="B62" s="1"/>
      <c r="C62" s="1"/>
      <c r="D62" s="1"/>
      <c r="E62" s="1"/>
      <c r="F62" s="1"/>
      <c r="G62" s="1"/>
      <c r="H62" s="1"/>
    </row>
    <row r="63" ht="21.75" customHeight="1">
      <c r="A63" s="1"/>
      <c r="B63" s="1"/>
      <c r="C63" s="1"/>
      <c r="D63" s="1"/>
      <c r="E63" s="1"/>
      <c r="F63" s="1"/>
      <c r="G63" s="1"/>
      <c r="H63" s="1"/>
    </row>
    <row r="64" ht="21.75" customHeight="1">
      <c r="A64" s="1"/>
      <c r="B64" s="1"/>
      <c r="C64" s="1"/>
      <c r="D64" s="1"/>
      <c r="E64" s="1"/>
      <c r="F64" s="1"/>
      <c r="G64" s="1"/>
      <c r="H64" s="1"/>
    </row>
    <row r="65" ht="21.75" customHeight="1">
      <c r="A65" s="1"/>
      <c r="B65" s="1"/>
      <c r="C65" s="1"/>
      <c r="D65" s="1"/>
      <c r="E65" s="1"/>
      <c r="F65" s="1"/>
      <c r="G65" s="1"/>
      <c r="H65" s="1"/>
    </row>
    <row r="66" ht="21.75" customHeight="1">
      <c r="A66" s="1"/>
      <c r="B66" s="1"/>
      <c r="C66" s="1"/>
      <c r="D66" s="1"/>
      <c r="E66" s="1"/>
      <c r="F66" s="1"/>
      <c r="G66" s="1"/>
      <c r="H66" s="1"/>
    </row>
    <row r="67" ht="21.75" customHeight="1">
      <c r="A67" s="1"/>
      <c r="B67" s="1"/>
      <c r="C67" s="1"/>
      <c r="D67" s="1"/>
      <c r="E67" s="1"/>
      <c r="F67" s="1"/>
      <c r="G67" s="1"/>
      <c r="H67" s="1"/>
    </row>
    <row r="68" ht="21.75" customHeight="1">
      <c r="A68" s="1"/>
      <c r="B68" s="1"/>
      <c r="C68" s="1"/>
      <c r="D68" s="1"/>
      <c r="E68" s="1"/>
      <c r="F68" s="1"/>
      <c r="G68" s="1"/>
      <c r="H68" s="1"/>
    </row>
    <row r="69" ht="21.75" customHeight="1">
      <c r="A69" s="1"/>
      <c r="B69" s="1"/>
      <c r="C69" s="1"/>
      <c r="D69" s="1"/>
      <c r="E69" s="1"/>
      <c r="F69" s="1"/>
      <c r="G69" s="1"/>
      <c r="H69" s="1"/>
    </row>
    <row r="70" ht="21.75" customHeight="1">
      <c r="A70" s="1"/>
      <c r="B70" s="1"/>
      <c r="C70" s="1"/>
      <c r="D70" s="1"/>
      <c r="E70" s="1"/>
      <c r="F70" s="1"/>
      <c r="G70" s="1"/>
      <c r="H70" s="1"/>
    </row>
    <row r="71" ht="21.75" customHeight="1">
      <c r="A71" s="1"/>
      <c r="B71" s="1"/>
      <c r="C71" s="1"/>
      <c r="D71" s="1"/>
      <c r="E71" s="1"/>
      <c r="F71" s="1"/>
      <c r="G71" s="1"/>
      <c r="H71" s="1"/>
    </row>
    <row r="72" ht="21.75" customHeight="1">
      <c r="A72" s="1"/>
      <c r="B72" s="1"/>
      <c r="C72" s="1"/>
      <c r="D72" s="1"/>
      <c r="E72" s="1"/>
      <c r="F72" s="1"/>
      <c r="G72" s="1"/>
      <c r="H72" s="1"/>
    </row>
    <row r="73" ht="21.75" customHeight="1">
      <c r="A73" s="1"/>
      <c r="B73" s="1"/>
      <c r="C73" s="1"/>
      <c r="D73" s="1"/>
      <c r="E73" s="1"/>
      <c r="F73" s="1"/>
      <c r="G73" s="1"/>
      <c r="H73" s="1"/>
    </row>
    <row r="74" ht="21.75" customHeight="1">
      <c r="A74" s="1"/>
      <c r="B74" s="1"/>
      <c r="C74" s="1"/>
      <c r="D74" s="1"/>
      <c r="E74" s="1"/>
      <c r="F74" s="1"/>
      <c r="G74" s="1"/>
      <c r="H74" s="1"/>
    </row>
    <row r="75" ht="21.75" customHeight="1">
      <c r="A75" s="1"/>
      <c r="B75" s="1"/>
      <c r="C75" s="1"/>
      <c r="D75" s="1"/>
      <c r="E75" s="1"/>
      <c r="F75" s="1"/>
      <c r="G75" s="1"/>
      <c r="H75" s="1"/>
    </row>
    <row r="76" ht="21.75" customHeight="1">
      <c r="A76" s="1"/>
      <c r="B76" s="1"/>
      <c r="C76" s="1"/>
      <c r="D76" s="1"/>
      <c r="E76" s="1"/>
      <c r="F76" s="1"/>
      <c r="G76" s="1"/>
      <c r="H76" s="1"/>
    </row>
    <row r="77" ht="21.75" customHeight="1">
      <c r="A77" s="1"/>
      <c r="B77" s="1"/>
      <c r="C77" s="1"/>
      <c r="D77" s="1"/>
      <c r="E77" s="1"/>
      <c r="F77" s="1"/>
      <c r="G77" s="1"/>
      <c r="H77" s="1"/>
    </row>
    <row r="78" ht="21.75" customHeight="1">
      <c r="A78" s="1"/>
      <c r="B78" s="1"/>
      <c r="C78" s="1"/>
      <c r="D78" s="1"/>
      <c r="E78" s="1"/>
      <c r="F78" s="1"/>
      <c r="G78" s="1"/>
      <c r="H78" s="1"/>
    </row>
    <row r="79" ht="21.75" customHeight="1">
      <c r="A79" s="1"/>
      <c r="B79" s="1"/>
      <c r="C79" s="1"/>
      <c r="D79" s="1"/>
      <c r="E79" s="1"/>
      <c r="F79" s="1"/>
      <c r="G79" s="1"/>
      <c r="H79" s="1"/>
    </row>
    <row r="80" ht="21.75" customHeight="1">
      <c r="A80" s="1"/>
      <c r="B80" s="1"/>
      <c r="C80" s="1"/>
      <c r="D80" s="1"/>
      <c r="E80" s="1"/>
      <c r="F80" s="1"/>
      <c r="G80" s="1"/>
      <c r="H80" s="1"/>
    </row>
    <row r="81" ht="21.75" customHeight="1">
      <c r="A81" s="1"/>
      <c r="B81" s="1"/>
      <c r="C81" s="1"/>
      <c r="D81" s="1"/>
      <c r="E81" s="1"/>
      <c r="F81" s="1"/>
      <c r="G81" s="1"/>
      <c r="H81" s="1"/>
    </row>
    <row r="82" ht="21.75" customHeight="1">
      <c r="A82" s="1"/>
      <c r="B82" s="1"/>
      <c r="C82" s="1"/>
      <c r="D82" s="1"/>
      <c r="E82" s="1"/>
      <c r="F82" s="1"/>
      <c r="G82" s="1"/>
      <c r="H82" s="1"/>
    </row>
    <row r="83" ht="21.75" customHeight="1">
      <c r="A83" s="1"/>
      <c r="B83" s="1"/>
      <c r="C83" s="1"/>
      <c r="D83" s="1"/>
      <c r="E83" s="1"/>
      <c r="F83" s="1"/>
      <c r="G83" s="1"/>
      <c r="H83" s="1"/>
    </row>
    <row r="84" ht="21.75" customHeight="1">
      <c r="A84" s="1"/>
      <c r="B84" s="1"/>
      <c r="C84" s="1"/>
      <c r="D84" s="1"/>
      <c r="E84" s="1"/>
      <c r="F84" s="1"/>
      <c r="G84" s="1"/>
      <c r="H84" s="1"/>
    </row>
    <row r="85" ht="21.75" customHeight="1">
      <c r="A85" s="1"/>
      <c r="B85" s="1"/>
      <c r="C85" s="1"/>
      <c r="D85" s="1"/>
      <c r="E85" s="1"/>
      <c r="F85" s="1"/>
      <c r="G85" s="1"/>
      <c r="H85" s="1"/>
    </row>
    <row r="86" ht="21.75" customHeight="1">
      <c r="A86" s="1"/>
      <c r="B86" s="1"/>
      <c r="C86" s="1"/>
      <c r="D86" s="1"/>
      <c r="E86" s="1"/>
      <c r="F86" s="1"/>
      <c r="G86" s="1"/>
      <c r="H86" s="1"/>
    </row>
    <row r="87" ht="21.75" customHeight="1">
      <c r="A87" s="1"/>
      <c r="B87" s="1"/>
      <c r="C87" s="1"/>
      <c r="D87" s="1"/>
      <c r="E87" s="1"/>
      <c r="F87" s="1"/>
      <c r="G87" s="1"/>
      <c r="H87" s="1"/>
    </row>
    <row r="88" ht="21.75" customHeight="1">
      <c r="A88" s="1"/>
      <c r="B88" s="1"/>
      <c r="C88" s="1"/>
      <c r="D88" s="1"/>
      <c r="E88" s="1"/>
      <c r="F88" s="1"/>
      <c r="G88" s="1"/>
      <c r="H88" s="1"/>
    </row>
    <row r="89" ht="21.75" customHeight="1">
      <c r="A89" s="1"/>
      <c r="B89" s="1"/>
      <c r="C89" s="1"/>
      <c r="D89" s="1"/>
      <c r="E89" s="1"/>
      <c r="F89" s="1"/>
      <c r="G89" s="1"/>
      <c r="H89" s="1"/>
    </row>
    <row r="90" ht="21.75" customHeight="1">
      <c r="A90" s="1"/>
      <c r="B90" s="1"/>
      <c r="C90" s="1"/>
      <c r="D90" s="1"/>
      <c r="E90" s="1"/>
      <c r="F90" s="1"/>
      <c r="G90" s="1"/>
      <c r="H90" s="1"/>
    </row>
    <row r="91" ht="21.75" customHeight="1">
      <c r="A91" s="1"/>
      <c r="B91" s="1"/>
      <c r="C91" s="1"/>
      <c r="D91" s="1"/>
      <c r="E91" s="1"/>
      <c r="F91" s="1"/>
      <c r="G91" s="1"/>
      <c r="H91" s="1"/>
    </row>
    <row r="92" ht="21.75" customHeight="1">
      <c r="A92" s="1"/>
      <c r="B92" s="1"/>
      <c r="C92" s="1"/>
      <c r="D92" s="1"/>
      <c r="E92" s="1"/>
      <c r="F92" s="1"/>
      <c r="G92" s="1"/>
      <c r="H92" s="1"/>
    </row>
    <row r="93" ht="21.75" customHeight="1">
      <c r="A93" s="1"/>
      <c r="B93" s="1"/>
      <c r="C93" s="1"/>
      <c r="D93" s="1"/>
      <c r="E93" s="1"/>
      <c r="F93" s="1"/>
      <c r="G93" s="1"/>
      <c r="H93" s="1"/>
    </row>
    <row r="94" ht="21.75" customHeight="1">
      <c r="A94" s="1"/>
      <c r="B94" s="1"/>
      <c r="C94" s="1"/>
      <c r="D94" s="1"/>
      <c r="E94" s="1"/>
      <c r="F94" s="1"/>
      <c r="G94" s="1"/>
      <c r="H94" s="1"/>
    </row>
    <row r="95" ht="21.75" customHeight="1">
      <c r="A95" s="1"/>
      <c r="B95" s="1"/>
      <c r="C95" s="1"/>
      <c r="D95" s="1"/>
      <c r="E95" s="1"/>
      <c r="F95" s="1"/>
      <c r="G95" s="1"/>
      <c r="H95" s="1"/>
    </row>
    <row r="96" ht="21.75" customHeight="1">
      <c r="A96" s="1"/>
      <c r="B96" s="1"/>
      <c r="C96" s="1"/>
      <c r="D96" s="1"/>
      <c r="E96" s="1"/>
      <c r="F96" s="1"/>
      <c r="G96" s="1"/>
      <c r="H96" s="1"/>
    </row>
    <row r="97" ht="21.75" customHeight="1">
      <c r="A97" s="1"/>
      <c r="B97" s="1"/>
      <c r="C97" s="1"/>
      <c r="D97" s="1"/>
      <c r="E97" s="1"/>
      <c r="F97" s="1"/>
      <c r="G97" s="1"/>
      <c r="H97" s="1"/>
    </row>
    <row r="98" ht="21.75" customHeight="1">
      <c r="A98" s="1"/>
      <c r="B98" s="1"/>
      <c r="C98" s="1"/>
      <c r="D98" s="1"/>
      <c r="E98" s="1"/>
      <c r="F98" s="1"/>
      <c r="G98" s="1"/>
      <c r="H98" s="1"/>
    </row>
    <row r="99" ht="21.75" customHeight="1">
      <c r="A99" s="1"/>
      <c r="B99" s="1"/>
      <c r="C99" s="1"/>
      <c r="D99" s="1"/>
      <c r="E99" s="1"/>
      <c r="F99" s="1"/>
      <c r="G99" s="1"/>
      <c r="H99" s="1"/>
    </row>
    <row r="100" ht="21.75" customHeight="1">
      <c r="A100" s="1"/>
      <c r="B100" s="1"/>
      <c r="C100" s="1"/>
      <c r="D100" s="1"/>
      <c r="E100" s="1"/>
      <c r="F100" s="1"/>
      <c r="G100" s="1"/>
      <c r="H100" s="1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4:H4"/>
    <mergeCell ref="A15:H15"/>
    <mergeCell ref="A19:H19"/>
    <mergeCell ref="A23:H23"/>
    <mergeCell ref="A25:H25"/>
    <mergeCell ref="A27:H27"/>
    <mergeCell ref="A29:H29"/>
  </mergeCells>
  <conditionalFormatting sqref="F7:F11">
    <cfRule type="expression" dxfId="0" priority="1">
      <formula>F7&gt;G7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3.0" ySplit="6.0" topLeftCell="D7" activePane="bottomRight" state="frozen"/>
      <selection activeCell="D1" sqref="D1" pane="topRight"/>
      <selection activeCell="A7" sqref="A7" pane="bottomLeft"/>
      <selection activeCell="D7" sqref="D7" pane="bottomRight"/>
    </sheetView>
  </sheetViews>
  <sheetFormatPr customHeight="1" defaultColWidth="12.63" defaultRowHeight="15.0"/>
  <cols>
    <col customWidth="1" min="1" max="2" width="11.0"/>
    <col customWidth="1" min="3" max="3" width="44.0"/>
    <col customWidth="1" min="4" max="5" width="15.0"/>
    <col customWidth="1" min="6" max="6" width="13.0"/>
    <col customWidth="1" min="7" max="8" width="15.0"/>
    <col customWidth="1" min="9" max="10" width="13.0"/>
    <col customWidth="1" min="11" max="11" width="14.0"/>
    <col customWidth="1" min="12" max="12" width="16.0"/>
    <col customWidth="1" min="13" max="13" width="15.0"/>
    <col customWidth="1" min="14" max="14" width="17.0"/>
    <col customWidth="1" min="15" max="15" width="16.0"/>
    <col customWidth="1" min="16" max="16" width="45.0"/>
    <col customWidth="1" min="17" max="26" width="8.63"/>
  </cols>
  <sheetData>
    <row r="1" ht="21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ht="30.0" customHeight="1">
      <c r="A2" s="2" t="s">
        <v>30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ht="21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ht="21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ht="21.7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ht="31.5" customHeight="1">
      <c r="A6" s="4" t="s">
        <v>31</v>
      </c>
      <c r="B6" s="4" t="s">
        <v>2</v>
      </c>
      <c r="C6" s="4" t="s">
        <v>32</v>
      </c>
      <c r="D6" s="4" t="s">
        <v>33</v>
      </c>
      <c r="E6" s="4" t="s">
        <v>34</v>
      </c>
      <c r="F6" s="4" t="s">
        <v>35</v>
      </c>
      <c r="G6" s="4" t="s">
        <v>36</v>
      </c>
      <c r="H6" s="4" t="s">
        <v>37</v>
      </c>
      <c r="I6" s="4" t="s">
        <v>38</v>
      </c>
      <c r="J6" s="4" t="s">
        <v>39</v>
      </c>
      <c r="K6" s="4" t="s">
        <v>40</v>
      </c>
      <c r="L6" s="4" t="s">
        <v>41</v>
      </c>
      <c r="M6" s="4" t="s">
        <v>42</v>
      </c>
      <c r="N6" s="4" t="s">
        <v>43</v>
      </c>
      <c r="O6" s="4" t="s">
        <v>44</v>
      </c>
      <c r="P6" s="4" t="s">
        <v>45</v>
      </c>
    </row>
    <row r="7" ht="45.0" customHeight="1">
      <c r="A7" s="5" t="s">
        <v>46</v>
      </c>
      <c r="B7" s="5" t="s">
        <v>10</v>
      </c>
      <c r="C7" s="5" t="s">
        <v>47</v>
      </c>
      <c r="D7" s="6">
        <v>46314.0</v>
      </c>
      <c r="E7" s="6">
        <v>46314.0</v>
      </c>
      <c r="F7" s="5">
        <v>1.0</v>
      </c>
      <c r="G7" s="12">
        <v>46314.0</v>
      </c>
      <c r="H7" s="12">
        <v>46314.0</v>
      </c>
      <c r="I7" s="13">
        <v>1.0</v>
      </c>
      <c r="J7" s="13"/>
      <c r="K7" s="14">
        <v>0.0</v>
      </c>
      <c r="L7" s="5">
        <f t="shared" ref="L7:M7" si="1">H7-E7</f>
        <v>0</v>
      </c>
      <c r="M7" s="5">
        <f t="shared" si="1"/>
        <v>0</v>
      </c>
      <c r="N7" s="5" t="str">
        <f t="shared" ref="N7:N31" si="3">IF(K7=1,"Concluída",IF(K7&gt;0,"Em andamento","Planejada"))</f>
        <v>Planejada</v>
      </c>
      <c r="O7" s="5"/>
      <c r="P7" s="5" t="s">
        <v>48</v>
      </c>
    </row>
    <row r="8" ht="45.0" customHeight="1">
      <c r="A8" s="7" t="s">
        <v>49</v>
      </c>
      <c r="B8" s="7" t="s">
        <v>10</v>
      </c>
      <c r="C8" s="7" t="s">
        <v>50</v>
      </c>
      <c r="D8" s="8">
        <v>46314.0</v>
      </c>
      <c r="E8" s="8">
        <v>46315.0</v>
      </c>
      <c r="F8" s="7">
        <v>3.0</v>
      </c>
      <c r="G8" s="12">
        <v>46314.0</v>
      </c>
      <c r="H8" s="12">
        <v>46315.0</v>
      </c>
      <c r="I8" s="13">
        <v>3.0</v>
      </c>
      <c r="J8" s="13"/>
      <c r="K8" s="14">
        <v>0.0</v>
      </c>
      <c r="L8" s="7">
        <f t="shared" ref="L8:M8" si="2">H8-E8</f>
        <v>0</v>
      </c>
      <c r="M8" s="7">
        <f t="shared" si="2"/>
        <v>0</v>
      </c>
      <c r="N8" s="7" t="str">
        <f t="shared" si="3"/>
        <v>Planejada</v>
      </c>
      <c r="O8" s="7" t="s">
        <v>46</v>
      </c>
      <c r="P8" s="7" t="s">
        <v>51</v>
      </c>
    </row>
    <row r="9" ht="45.0" customHeight="1">
      <c r="A9" s="5" t="s">
        <v>52</v>
      </c>
      <c r="B9" s="5" t="s">
        <v>10</v>
      </c>
      <c r="C9" s="5" t="s">
        <v>53</v>
      </c>
      <c r="D9" s="6">
        <v>46315.0</v>
      </c>
      <c r="E9" s="6">
        <v>46315.0</v>
      </c>
      <c r="F9" s="5">
        <v>2.0</v>
      </c>
      <c r="G9" s="12">
        <v>46315.0</v>
      </c>
      <c r="H9" s="12">
        <v>46315.0</v>
      </c>
      <c r="I9" s="13">
        <v>2.0</v>
      </c>
      <c r="J9" s="13"/>
      <c r="K9" s="14">
        <v>0.0</v>
      </c>
      <c r="L9" s="5">
        <f t="shared" ref="L9:M9" si="4">H9-E9</f>
        <v>0</v>
      </c>
      <c r="M9" s="5">
        <f t="shared" si="4"/>
        <v>0</v>
      </c>
      <c r="N9" s="5" t="str">
        <f t="shared" si="3"/>
        <v>Planejada</v>
      </c>
      <c r="O9" s="5" t="s">
        <v>49</v>
      </c>
      <c r="P9" s="5" t="s">
        <v>54</v>
      </c>
    </row>
    <row r="10" ht="45.0" customHeight="1">
      <c r="A10" s="7" t="s">
        <v>55</v>
      </c>
      <c r="B10" s="7" t="s">
        <v>10</v>
      </c>
      <c r="C10" s="7" t="s">
        <v>56</v>
      </c>
      <c r="D10" s="8">
        <v>46317.0</v>
      </c>
      <c r="E10" s="8">
        <v>46317.0</v>
      </c>
      <c r="F10" s="7">
        <v>2.0</v>
      </c>
      <c r="G10" s="12">
        <v>46317.0</v>
      </c>
      <c r="H10" s="12">
        <v>46317.0</v>
      </c>
      <c r="I10" s="13">
        <v>2.0</v>
      </c>
      <c r="J10" s="13"/>
      <c r="K10" s="14">
        <v>0.0</v>
      </c>
      <c r="L10" s="7">
        <f t="shared" ref="L10:M10" si="5">H10-E10</f>
        <v>0</v>
      </c>
      <c r="M10" s="7">
        <f t="shared" si="5"/>
        <v>0</v>
      </c>
      <c r="N10" s="7" t="str">
        <f t="shared" si="3"/>
        <v>Planejada</v>
      </c>
      <c r="O10" s="7" t="s">
        <v>57</v>
      </c>
      <c r="P10" s="7" t="s">
        <v>58</v>
      </c>
    </row>
    <row r="11" ht="45.0" customHeight="1">
      <c r="A11" s="5" t="s">
        <v>59</v>
      </c>
      <c r="B11" s="5" t="s">
        <v>10</v>
      </c>
      <c r="C11" s="5" t="s">
        <v>60</v>
      </c>
      <c r="D11" s="6">
        <v>46316.0</v>
      </c>
      <c r="E11" s="6">
        <v>46316.0</v>
      </c>
      <c r="F11" s="5">
        <v>2.0</v>
      </c>
      <c r="G11" s="12">
        <v>46316.0</v>
      </c>
      <c r="H11" s="12">
        <v>46316.0</v>
      </c>
      <c r="I11" s="13">
        <v>2.0</v>
      </c>
      <c r="J11" s="13"/>
      <c r="K11" s="14">
        <v>0.0</v>
      </c>
      <c r="L11" s="5">
        <f t="shared" ref="L11:M11" si="6">H11-E11</f>
        <v>0</v>
      </c>
      <c r="M11" s="5">
        <f t="shared" si="6"/>
        <v>0</v>
      </c>
      <c r="N11" s="5" t="str">
        <f t="shared" si="3"/>
        <v>Planejada</v>
      </c>
      <c r="O11" s="5" t="s">
        <v>52</v>
      </c>
      <c r="P11" s="5" t="s">
        <v>61</v>
      </c>
    </row>
    <row r="12" ht="45.0" customHeight="1">
      <c r="A12" s="7" t="s">
        <v>62</v>
      </c>
      <c r="B12" s="7" t="s">
        <v>12</v>
      </c>
      <c r="C12" s="7" t="s">
        <v>63</v>
      </c>
      <c r="D12" s="8">
        <v>46318.0</v>
      </c>
      <c r="E12" s="8">
        <v>46319.0</v>
      </c>
      <c r="F12" s="7">
        <v>4.0</v>
      </c>
      <c r="G12" s="12">
        <v>46318.0</v>
      </c>
      <c r="H12" s="12">
        <v>46319.0</v>
      </c>
      <c r="I12" s="13">
        <v>4.0</v>
      </c>
      <c r="J12" s="13"/>
      <c r="K12" s="14">
        <v>0.0</v>
      </c>
      <c r="L12" s="7">
        <f t="shared" ref="L12:M12" si="7">H12-E12</f>
        <v>0</v>
      </c>
      <c r="M12" s="7">
        <f t="shared" si="7"/>
        <v>0</v>
      </c>
      <c r="N12" s="7" t="str">
        <f t="shared" si="3"/>
        <v>Planejada</v>
      </c>
      <c r="O12" s="7" t="s">
        <v>55</v>
      </c>
      <c r="P12" s="7" t="s">
        <v>64</v>
      </c>
    </row>
    <row r="13" ht="45.0" customHeight="1">
      <c r="A13" s="5" t="s">
        <v>65</v>
      </c>
      <c r="B13" s="5" t="s">
        <v>12</v>
      </c>
      <c r="C13" s="5" t="s">
        <v>66</v>
      </c>
      <c r="D13" s="6">
        <v>46319.0</v>
      </c>
      <c r="E13" s="6">
        <v>46320.0</v>
      </c>
      <c r="F13" s="5">
        <v>3.0</v>
      </c>
      <c r="G13" s="12">
        <v>46319.0</v>
      </c>
      <c r="H13" s="12">
        <v>46320.0</v>
      </c>
      <c r="I13" s="13">
        <v>3.0</v>
      </c>
      <c r="J13" s="13"/>
      <c r="K13" s="14">
        <v>0.0</v>
      </c>
      <c r="L13" s="5">
        <f t="shared" ref="L13:M13" si="8">H13-E13</f>
        <v>0</v>
      </c>
      <c r="M13" s="5">
        <f t="shared" si="8"/>
        <v>0</v>
      </c>
      <c r="N13" s="5" t="str">
        <f t="shared" si="3"/>
        <v>Planejada</v>
      </c>
      <c r="O13" s="5" t="s">
        <v>62</v>
      </c>
      <c r="P13" s="5" t="s">
        <v>67</v>
      </c>
    </row>
    <row r="14" ht="45.0" customHeight="1">
      <c r="A14" s="7" t="s">
        <v>68</v>
      </c>
      <c r="B14" s="7" t="s">
        <v>12</v>
      </c>
      <c r="C14" s="7" t="s">
        <v>69</v>
      </c>
      <c r="D14" s="8">
        <v>46320.0</v>
      </c>
      <c r="E14" s="8">
        <v>46320.0</v>
      </c>
      <c r="F14" s="7">
        <v>2.0</v>
      </c>
      <c r="G14" s="12">
        <v>46320.0</v>
      </c>
      <c r="H14" s="12">
        <v>46320.0</v>
      </c>
      <c r="I14" s="13">
        <v>2.0</v>
      </c>
      <c r="J14" s="13"/>
      <c r="K14" s="14">
        <v>0.0</v>
      </c>
      <c r="L14" s="7">
        <f t="shared" ref="L14:M14" si="9">H14-E14</f>
        <v>0</v>
      </c>
      <c r="M14" s="7">
        <f t="shared" si="9"/>
        <v>0</v>
      </c>
      <c r="N14" s="7" t="str">
        <f t="shared" si="3"/>
        <v>Planejada</v>
      </c>
      <c r="O14" s="7" t="s">
        <v>65</v>
      </c>
      <c r="P14" s="7" t="s">
        <v>70</v>
      </c>
    </row>
    <row r="15" ht="45.0" customHeight="1">
      <c r="A15" s="5" t="s">
        <v>71</v>
      </c>
      <c r="B15" s="5" t="s">
        <v>12</v>
      </c>
      <c r="C15" s="5" t="s">
        <v>72</v>
      </c>
      <c r="D15" s="6">
        <v>46321.0</v>
      </c>
      <c r="E15" s="6">
        <v>46322.0</v>
      </c>
      <c r="F15" s="5">
        <v>3.0</v>
      </c>
      <c r="G15" s="12">
        <v>46321.0</v>
      </c>
      <c r="H15" s="12">
        <v>46322.0</v>
      </c>
      <c r="I15" s="13">
        <v>3.0</v>
      </c>
      <c r="J15" s="13"/>
      <c r="K15" s="14">
        <v>0.0</v>
      </c>
      <c r="L15" s="5">
        <f t="shared" ref="L15:M15" si="10">H15-E15</f>
        <v>0</v>
      </c>
      <c r="M15" s="5">
        <f t="shared" si="10"/>
        <v>0</v>
      </c>
      <c r="N15" s="5" t="str">
        <f t="shared" si="3"/>
        <v>Planejada</v>
      </c>
      <c r="O15" s="5" t="s">
        <v>68</v>
      </c>
      <c r="P15" s="5" t="s">
        <v>73</v>
      </c>
    </row>
    <row r="16" ht="45.0" customHeight="1">
      <c r="A16" s="7" t="s">
        <v>74</v>
      </c>
      <c r="B16" s="7" t="s">
        <v>12</v>
      </c>
      <c r="C16" s="7" t="s">
        <v>75</v>
      </c>
      <c r="D16" s="8">
        <v>46323.0</v>
      </c>
      <c r="E16" s="8">
        <v>46324.0</v>
      </c>
      <c r="F16" s="7">
        <v>3.0</v>
      </c>
      <c r="G16" s="12">
        <v>46323.0</v>
      </c>
      <c r="H16" s="12">
        <v>46324.0</v>
      </c>
      <c r="I16" s="13">
        <v>3.0</v>
      </c>
      <c r="J16" s="13"/>
      <c r="K16" s="14">
        <v>0.0</v>
      </c>
      <c r="L16" s="7">
        <f t="shared" ref="L16:M16" si="11">H16-E16</f>
        <v>0</v>
      </c>
      <c r="M16" s="7">
        <f t="shared" si="11"/>
        <v>0</v>
      </c>
      <c r="N16" s="7" t="str">
        <f t="shared" si="3"/>
        <v>Planejada</v>
      </c>
      <c r="O16" s="7" t="s">
        <v>76</v>
      </c>
      <c r="P16" s="7" t="s">
        <v>77</v>
      </c>
    </row>
    <row r="17" ht="45.0" customHeight="1">
      <c r="A17" s="5" t="s">
        <v>78</v>
      </c>
      <c r="B17" s="5" t="s">
        <v>12</v>
      </c>
      <c r="C17" s="5" t="s">
        <v>79</v>
      </c>
      <c r="D17" s="6">
        <v>46322.0</v>
      </c>
      <c r="E17" s="6">
        <v>46323.0</v>
      </c>
      <c r="F17" s="5">
        <v>2.0</v>
      </c>
      <c r="G17" s="12">
        <v>46322.0</v>
      </c>
      <c r="H17" s="12">
        <v>46323.0</v>
      </c>
      <c r="I17" s="13">
        <v>2.0</v>
      </c>
      <c r="J17" s="13"/>
      <c r="K17" s="14">
        <v>0.0</v>
      </c>
      <c r="L17" s="5">
        <f t="shared" ref="L17:M17" si="12">H17-E17</f>
        <v>0</v>
      </c>
      <c r="M17" s="5">
        <f t="shared" si="12"/>
        <v>0</v>
      </c>
      <c r="N17" s="5" t="str">
        <f t="shared" si="3"/>
        <v>Planejada</v>
      </c>
      <c r="O17" s="5" t="s">
        <v>71</v>
      </c>
      <c r="P17" s="5" t="s">
        <v>61</v>
      </c>
    </row>
    <row r="18" ht="45.0" customHeight="1">
      <c r="A18" s="7" t="s">
        <v>80</v>
      </c>
      <c r="B18" s="7" t="s">
        <v>14</v>
      </c>
      <c r="C18" s="7" t="s">
        <v>81</v>
      </c>
      <c r="D18" s="8">
        <v>46325.0</v>
      </c>
      <c r="E18" s="8">
        <v>46326.0</v>
      </c>
      <c r="F18" s="7">
        <v>4.0</v>
      </c>
      <c r="G18" s="12">
        <v>46325.0</v>
      </c>
      <c r="H18" s="12">
        <v>46326.0</v>
      </c>
      <c r="I18" s="13">
        <v>4.0</v>
      </c>
      <c r="J18" s="13"/>
      <c r="K18" s="14">
        <v>0.0</v>
      </c>
      <c r="L18" s="7">
        <f t="shared" ref="L18:M18" si="13">H18-E18</f>
        <v>0</v>
      </c>
      <c r="M18" s="7">
        <f t="shared" si="13"/>
        <v>0</v>
      </c>
      <c r="N18" s="7" t="str">
        <f t="shared" si="3"/>
        <v>Planejada</v>
      </c>
      <c r="O18" s="7" t="s">
        <v>74</v>
      </c>
      <c r="P18" s="7" t="s">
        <v>82</v>
      </c>
    </row>
    <row r="19" ht="45.0" customHeight="1">
      <c r="A19" s="5" t="s">
        <v>83</v>
      </c>
      <c r="B19" s="5" t="s">
        <v>14</v>
      </c>
      <c r="C19" s="5" t="s">
        <v>84</v>
      </c>
      <c r="D19" s="6">
        <v>46326.0</v>
      </c>
      <c r="E19" s="6">
        <v>46327.0</v>
      </c>
      <c r="F19" s="5">
        <v>6.0</v>
      </c>
      <c r="G19" s="12">
        <v>46326.0</v>
      </c>
      <c r="H19" s="12">
        <v>46327.0</v>
      </c>
      <c r="I19" s="13">
        <v>6.0</v>
      </c>
      <c r="J19" s="13"/>
      <c r="K19" s="14">
        <v>0.0</v>
      </c>
      <c r="L19" s="5">
        <f t="shared" ref="L19:M19" si="14">H19-E19</f>
        <v>0</v>
      </c>
      <c r="M19" s="5">
        <f t="shared" si="14"/>
        <v>0</v>
      </c>
      <c r="N19" s="5" t="str">
        <f t="shared" si="3"/>
        <v>Planejada</v>
      </c>
      <c r="O19" s="5" t="s">
        <v>80</v>
      </c>
      <c r="P19" s="5" t="s">
        <v>85</v>
      </c>
    </row>
    <row r="20" ht="45.0" customHeight="1">
      <c r="A20" s="7" t="s">
        <v>86</v>
      </c>
      <c r="B20" s="7" t="s">
        <v>14</v>
      </c>
      <c r="C20" s="7" t="s">
        <v>87</v>
      </c>
      <c r="D20" s="8">
        <v>46328.0</v>
      </c>
      <c r="E20" s="8">
        <v>46329.0</v>
      </c>
      <c r="F20" s="7">
        <v>3.0</v>
      </c>
      <c r="G20" s="12">
        <v>46328.0</v>
      </c>
      <c r="H20" s="12">
        <v>46329.0</v>
      </c>
      <c r="I20" s="13">
        <v>3.0</v>
      </c>
      <c r="J20" s="13"/>
      <c r="K20" s="14">
        <v>0.0</v>
      </c>
      <c r="L20" s="7">
        <f t="shared" ref="L20:M20" si="15">H20-E20</f>
        <v>0</v>
      </c>
      <c r="M20" s="7">
        <f t="shared" si="15"/>
        <v>0</v>
      </c>
      <c r="N20" s="7" t="str">
        <f t="shared" si="3"/>
        <v>Planejada</v>
      </c>
      <c r="O20" s="7" t="s">
        <v>83</v>
      </c>
      <c r="P20" s="7" t="s">
        <v>88</v>
      </c>
    </row>
    <row r="21" ht="45.0" customHeight="1">
      <c r="A21" s="5" t="s">
        <v>89</v>
      </c>
      <c r="B21" s="5" t="s">
        <v>14</v>
      </c>
      <c r="C21" s="5" t="s">
        <v>90</v>
      </c>
      <c r="D21" s="6">
        <v>46330.0</v>
      </c>
      <c r="E21" s="6">
        <v>46331.0</v>
      </c>
      <c r="F21" s="5">
        <v>3.0</v>
      </c>
      <c r="G21" s="12">
        <v>46330.0</v>
      </c>
      <c r="H21" s="12">
        <v>46331.0</v>
      </c>
      <c r="I21" s="13">
        <v>3.0</v>
      </c>
      <c r="J21" s="13"/>
      <c r="K21" s="14">
        <v>0.0</v>
      </c>
      <c r="L21" s="5">
        <f t="shared" ref="L21:M21" si="16">H21-E21</f>
        <v>0</v>
      </c>
      <c r="M21" s="5">
        <f t="shared" si="16"/>
        <v>0</v>
      </c>
      <c r="N21" s="5" t="str">
        <f t="shared" si="3"/>
        <v>Planejada</v>
      </c>
      <c r="O21" s="5" t="s">
        <v>91</v>
      </c>
      <c r="P21" s="5" t="s">
        <v>92</v>
      </c>
    </row>
    <row r="22" ht="45.0" customHeight="1">
      <c r="A22" s="7" t="s">
        <v>93</v>
      </c>
      <c r="B22" s="7" t="s">
        <v>14</v>
      </c>
      <c r="C22" s="7" t="s">
        <v>94</v>
      </c>
      <c r="D22" s="8">
        <v>46329.0</v>
      </c>
      <c r="E22" s="8">
        <v>46330.0</v>
      </c>
      <c r="F22" s="7">
        <v>2.0</v>
      </c>
      <c r="G22" s="12">
        <v>46329.0</v>
      </c>
      <c r="H22" s="12">
        <v>46330.0</v>
      </c>
      <c r="I22" s="13">
        <v>2.0</v>
      </c>
      <c r="J22" s="13"/>
      <c r="K22" s="14">
        <v>0.0</v>
      </c>
      <c r="L22" s="7">
        <f t="shared" ref="L22:M22" si="17">H22-E22</f>
        <v>0</v>
      </c>
      <c r="M22" s="7">
        <f t="shared" si="17"/>
        <v>0</v>
      </c>
      <c r="N22" s="7" t="str">
        <f t="shared" si="3"/>
        <v>Planejada</v>
      </c>
      <c r="O22" s="7" t="s">
        <v>86</v>
      </c>
      <c r="P22" s="7" t="s">
        <v>61</v>
      </c>
    </row>
    <row r="23" ht="45.0" customHeight="1">
      <c r="A23" s="5" t="s">
        <v>95</v>
      </c>
      <c r="B23" s="5" t="s">
        <v>16</v>
      </c>
      <c r="C23" s="5" t="s">
        <v>96</v>
      </c>
      <c r="D23" s="6">
        <v>46333.0</v>
      </c>
      <c r="E23" s="6">
        <v>46334.0</v>
      </c>
      <c r="F23" s="5">
        <v>5.0</v>
      </c>
      <c r="G23" s="12">
        <v>46333.0</v>
      </c>
      <c r="H23" s="12">
        <v>46334.0</v>
      </c>
      <c r="I23" s="13">
        <v>5.0</v>
      </c>
      <c r="J23" s="13"/>
      <c r="K23" s="14">
        <v>0.0</v>
      </c>
      <c r="L23" s="5">
        <f t="shared" ref="L23:M23" si="18">H23-E23</f>
        <v>0</v>
      </c>
      <c r="M23" s="5">
        <f t="shared" si="18"/>
        <v>0</v>
      </c>
      <c r="N23" s="5" t="str">
        <f t="shared" si="3"/>
        <v>Planejada</v>
      </c>
      <c r="O23" s="5" t="s">
        <v>89</v>
      </c>
      <c r="P23" s="5" t="s">
        <v>97</v>
      </c>
    </row>
    <row r="24" ht="45.0" customHeight="1">
      <c r="A24" s="7" t="s">
        <v>98</v>
      </c>
      <c r="B24" s="7" t="s">
        <v>16</v>
      </c>
      <c r="C24" s="7" t="s">
        <v>99</v>
      </c>
      <c r="D24" s="8">
        <v>46334.0</v>
      </c>
      <c r="E24" s="8">
        <v>46336.0</v>
      </c>
      <c r="F24" s="7">
        <v>5.0</v>
      </c>
      <c r="G24" s="12">
        <v>46334.0</v>
      </c>
      <c r="H24" s="12">
        <v>46336.0</v>
      </c>
      <c r="I24" s="13">
        <v>5.0</v>
      </c>
      <c r="J24" s="13"/>
      <c r="K24" s="14">
        <v>0.0</v>
      </c>
      <c r="L24" s="7">
        <f t="shared" ref="L24:M24" si="19">H24-E24</f>
        <v>0</v>
      </c>
      <c r="M24" s="7">
        <f t="shared" si="19"/>
        <v>0</v>
      </c>
      <c r="N24" s="7" t="str">
        <f t="shared" si="3"/>
        <v>Planejada</v>
      </c>
      <c r="O24" s="7" t="s">
        <v>95</v>
      </c>
      <c r="P24" s="7" t="s">
        <v>100</v>
      </c>
    </row>
    <row r="25" ht="45.0" customHeight="1">
      <c r="A25" s="5" t="s">
        <v>101</v>
      </c>
      <c r="B25" s="5" t="s">
        <v>16</v>
      </c>
      <c r="C25" s="5" t="s">
        <v>102</v>
      </c>
      <c r="D25" s="6">
        <v>46337.0</v>
      </c>
      <c r="E25" s="6">
        <v>46338.0</v>
      </c>
      <c r="F25" s="5">
        <v>3.0</v>
      </c>
      <c r="G25" s="12">
        <v>46337.0</v>
      </c>
      <c r="H25" s="12">
        <v>46338.0</v>
      </c>
      <c r="I25" s="13">
        <v>3.0</v>
      </c>
      <c r="J25" s="13"/>
      <c r="K25" s="14">
        <v>0.0</v>
      </c>
      <c r="L25" s="5">
        <f t="shared" ref="L25:M25" si="20">H25-E25</f>
        <v>0</v>
      </c>
      <c r="M25" s="5">
        <f t="shared" si="20"/>
        <v>0</v>
      </c>
      <c r="N25" s="5" t="str">
        <f t="shared" si="3"/>
        <v>Planejada</v>
      </c>
      <c r="O25" s="5" t="s">
        <v>103</v>
      </c>
      <c r="P25" s="5" t="s">
        <v>104</v>
      </c>
    </row>
    <row r="26" ht="45.0" customHeight="1">
      <c r="A26" s="7" t="s">
        <v>105</v>
      </c>
      <c r="B26" s="7" t="s">
        <v>16</v>
      </c>
      <c r="C26" s="7" t="s">
        <v>106</v>
      </c>
      <c r="D26" s="8">
        <v>46336.0</v>
      </c>
      <c r="E26" s="8">
        <v>46337.0</v>
      </c>
      <c r="F26" s="7">
        <v>2.0</v>
      </c>
      <c r="G26" s="12">
        <v>46336.0</v>
      </c>
      <c r="H26" s="12">
        <v>46337.0</v>
      </c>
      <c r="I26" s="13">
        <v>2.0</v>
      </c>
      <c r="J26" s="13"/>
      <c r="K26" s="14">
        <v>0.0</v>
      </c>
      <c r="L26" s="7">
        <f t="shared" ref="L26:M26" si="21">H26-E26</f>
        <v>0</v>
      </c>
      <c r="M26" s="7">
        <f t="shared" si="21"/>
        <v>0</v>
      </c>
      <c r="N26" s="7" t="str">
        <f t="shared" si="3"/>
        <v>Planejada</v>
      </c>
      <c r="O26" s="7" t="s">
        <v>98</v>
      </c>
      <c r="P26" s="7" t="s">
        <v>61</v>
      </c>
    </row>
    <row r="27" ht="45.0" customHeight="1">
      <c r="A27" s="5" t="s">
        <v>107</v>
      </c>
      <c r="B27" s="5" t="s">
        <v>18</v>
      </c>
      <c r="C27" s="5" t="s">
        <v>108</v>
      </c>
      <c r="D27" s="6">
        <v>46340.0</v>
      </c>
      <c r="E27" s="6">
        <v>46340.0</v>
      </c>
      <c r="F27" s="5">
        <v>4.0</v>
      </c>
      <c r="G27" s="12">
        <v>46340.0</v>
      </c>
      <c r="H27" s="12">
        <v>46340.0</v>
      </c>
      <c r="I27" s="13">
        <v>4.0</v>
      </c>
      <c r="J27" s="13"/>
      <c r="K27" s="14">
        <v>0.0</v>
      </c>
      <c r="L27" s="5">
        <f t="shared" ref="L27:M27" si="22">H27-E27</f>
        <v>0</v>
      </c>
      <c r="M27" s="5">
        <f t="shared" si="22"/>
        <v>0</v>
      </c>
      <c r="N27" s="5" t="str">
        <f t="shared" si="3"/>
        <v>Planejada</v>
      </c>
      <c r="O27" s="5" t="s">
        <v>101</v>
      </c>
      <c r="P27" s="5" t="s">
        <v>109</v>
      </c>
    </row>
    <row r="28" ht="45.0" customHeight="1">
      <c r="A28" s="7" t="s">
        <v>110</v>
      </c>
      <c r="B28" s="7" t="s">
        <v>18</v>
      </c>
      <c r="C28" s="7" t="s">
        <v>111</v>
      </c>
      <c r="D28" s="8">
        <v>46341.0</v>
      </c>
      <c r="E28" s="8">
        <v>46342.0</v>
      </c>
      <c r="F28" s="7">
        <v>6.0</v>
      </c>
      <c r="G28" s="12">
        <v>46341.0</v>
      </c>
      <c r="H28" s="12">
        <v>46342.0</v>
      </c>
      <c r="I28" s="13">
        <v>6.0</v>
      </c>
      <c r="J28" s="13"/>
      <c r="K28" s="14">
        <v>0.0</v>
      </c>
      <c r="L28" s="7">
        <f t="shared" ref="L28:M28" si="23">H28-E28</f>
        <v>0</v>
      </c>
      <c r="M28" s="7">
        <f t="shared" si="23"/>
        <v>0</v>
      </c>
      <c r="N28" s="7" t="str">
        <f t="shared" si="3"/>
        <v>Planejada</v>
      </c>
      <c r="O28" s="7" t="s">
        <v>107</v>
      </c>
      <c r="P28" s="7" t="s">
        <v>112</v>
      </c>
    </row>
    <row r="29" ht="45.0" customHeight="1">
      <c r="A29" s="5" t="s">
        <v>113</v>
      </c>
      <c r="B29" s="5" t="s">
        <v>18</v>
      </c>
      <c r="C29" s="5" t="s">
        <v>114</v>
      </c>
      <c r="D29" s="6">
        <v>46343.0</v>
      </c>
      <c r="E29" s="6">
        <v>46344.0</v>
      </c>
      <c r="F29" s="5">
        <v>3.0</v>
      </c>
      <c r="G29" s="12">
        <v>46343.0</v>
      </c>
      <c r="H29" s="12">
        <v>46344.0</v>
      </c>
      <c r="I29" s="13">
        <v>3.0</v>
      </c>
      <c r="J29" s="13"/>
      <c r="K29" s="14">
        <v>0.0</v>
      </c>
      <c r="L29" s="5">
        <f t="shared" ref="L29:M29" si="24">H29-E29</f>
        <v>0</v>
      </c>
      <c r="M29" s="5">
        <f t="shared" si="24"/>
        <v>0</v>
      </c>
      <c r="N29" s="5" t="str">
        <f t="shared" si="3"/>
        <v>Planejada</v>
      </c>
      <c r="O29" s="5" t="s">
        <v>110</v>
      </c>
      <c r="P29" s="5" t="s">
        <v>115</v>
      </c>
    </row>
    <row r="30" ht="45.0" customHeight="1">
      <c r="A30" s="7" t="s">
        <v>116</v>
      </c>
      <c r="B30" s="7" t="s">
        <v>18</v>
      </c>
      <c r="C30" s="7" t="s">
        <v>117</v>
      </c>
      <c r="D30" s="8">
        <v>46345.0</v>
      </c>
      <c r="E30" s="8">
        <v>46345.0</v>
      </c>
      <c r="F30" s="7">
        <v>2.0</v>
      </c>
      <c r="G30" s="12">
        <v>46345.0</v>
      </c>
      <c r="H30" s="12">
        <v>46345.0</v>
      </c>
      <c r="I30" s="13">
        <v>2.0</v>
      </c>
      <c r="J30" s="13"/>
      <c r="K30" s="14">
        <v>0.0</v>
      </c>
      <c r="L30" s="7">
        <f t="shared" ref="L30:M30" si="25">H30-E30</f>
        <v>0</v>
      </c>
      <c r="M30" s="7">
        <f t="shared" si="25"/>
        <v>0</v>
      </c>
      <c r="N30" s="7" t="str">
        <f t="shared" si="3"/>
        <v>Planejada</v>
      </c>
      <c r="O30" s="7" t="s">
        <v>118</v>
      </c>
      <c r="P30" s="7" t="s">
        <v>119</v>
      </c>
    </row>
    <row r="31" ht="45.0" customHeight="1">
      <c r="A31" s="5" t="s">
        <v>120</v>
      </c>
      <c r="B31" s="5" t="s">
        <v>18</v>
      </c>
      <c r="C31" s="5" t="s">
        <v>121</v>
      </c>
      <c r="D31" s="6">
        <v>46344.0</v>
      </c>
      <c r="E31" s="6">
        <v>46344.0</v>
      </c>
      <c r="F31" s="5">
        <v>1.0</v>
      </c>
      <c r="G31" s="12">
        <v>46344.0</v>
      </c>
      <c r="H31" s="12">
        <v>46344.0</v>
      </c>
      <c r="I31" s="13">
        <v>1.0</v>
      </c>
      <c r="J31" s="13"/>
      <c r="K31" s="14">
        <v>0.0</v>
      </c>
      <c r="L31" s="5">
        <f t="shared" ref="L31:M31" si="26">H31-E31</f>
        <v>0</v>
      </c>
      <c r="M31" s="5">
        <f t="shared" si="26"/>
        <v>0</v>
      </c>
      <c r="N31" s="5" t="str">
        <f t="shared" si="3"/>
        <v>Planejada</v>
      </c>
      <c r="O31" s="5" t="s">
        <v>113</v>
      </c>
      <c r="P31" s="5" t="s">
        <v>61</v>
      </c>
    </row>
    <row r="32" ht="21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ht="21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ht="31.5" customHeight="1">
      <c r="A34" s="9" t="s">
        <v>122</v>
      </c>
    </row>
    <row r="35" ht="21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ht="31.5" customHeight="1">
      <c r="A36" s="9" t="s">
        <v>123</v>
      </c>
    </row>
    <row r="37" ht="21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ht="21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ht="21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ht="21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ht="21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ht="21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ht="21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ht="21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ht="21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ht="21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ht="21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ht="21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ht="21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ht="21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ht="21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ht="21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ht="21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ht="21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ht="21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ht="21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ht="21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ht="21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ht="21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ht="21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ht="21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ht="21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ht="21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ht="21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ht="21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ht="21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ht="21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ht="21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ht="21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ht="21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ht="21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ht="21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ht="21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ht="21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ht="21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ht="21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ht="21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ht="21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ht="21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ht="21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ht="21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ht="21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ht="21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ht="21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ht="21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ht="21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ht="21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ht="21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ht="21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ht="21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ht="21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ht="21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ht="21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ht="21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ht="21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ht="21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ht="21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ht="21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ht="21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ht="21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34:P34"/>
    <mergeCell ref="A36:P36"/>
  </mergeCells>
  <conditionalFormatting sqref="L7:M31">
    <cfRule type="cellIs" dxfId="0" priority="1" operator="greaterThan">
      <formula>0</formula>
    </cfRule>
  </conditionalFormatting>
  <dataValidations>
    <dataValidation type="decimal" allowBlank="1" sqref="K7:K31">
      <formula1>0.0</formula1>
      <formula2>1.0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16.0"/>
    <col customWidth="1" min="2" max="2" width="12.0"/>
    <col customWidth="1" min="3" max="5" width="16.0"/>
    <col customWidth="1" min="6" max="6" width="65.0"/>
    <col customWidth="1" min="7" max="26" width="8.63"/>
  </cols>
  <sheetData>
    <row r="1" ht="21.75" customHeight="1">
      <c r="A1" s="1"/>
      <c r="B1" s="1"/>
      <c r="C1" s="1"/>
      <c r="D1" s="1"/>
      <c r="E1" s="1"/>
      <c r="F1" s="1"/>
    </row>
    <row r="2" ht="30.0" customHeight="1">
      <c r="A2" s="2" t="s">
        <v>124</v>
      </c>
      <c r="B2" s="1"/>
      <c r="C2" s="1"/>
      <c r="D2" s="1"/>
      <c r="E2" s="1"/>
      <c r="F2" s="1"/>
    </row>
    <row r="3" ht="21.75" customHeight="1">
      <c r="A3" s="1"/>
      <c r="B3" s="1"/>
      <c r="C3" s="1"/>
      <c r="D3" s="1"/>
      <c r="E3" s="1"/>
      <c r="F3" s="1"/>
    </row>
    <row r="4" ht="21.75" customHeight="1">
      <c r="A4" s="1"/>
      <c r="B4" s="1"/>
      <c r="C4" s="1"/>
      <c r="D4" s="1"/>
      <c r="E4" s="1"/>
      <c r="F4" s="1"/>
    </row>
    <row r="5" ht="21.75" customHeight="1">
      <c r="A5" s="1"/>
      <c r="B5" s="1"/>
      <c r="C5" s="1"/>
      <c r="D5" s="1"/>
      <c r="E5" s="1"/>
      <c r="F5" s="1"/>
    </row>
    <row r="6" ht="31.5" customHeight="1">
      <c r="A6" s="4" t="s">
        <v>125</v>
      </c>
      <c r="B6" s="4" t="s">
        <v>2</v>
      </c>
      <c r="C6" s="4" t="s">
        <v>8</v>
      </c>
      <c r="D6" s="4" t="s">
        <v>126</v>
      </c>
      <c r="E6" s="4" t="s">
        <v>127</v>
      </c>
      <c r="F6" s="4" t="s">
        <v>128</v>
      </c>
    </row>
    <row r="7" ht="31.5" customHeight="1">
      <c r="A7" s="6">
        <v>46314.0</v>
      </c>
      <c r="B7" s="5" t="s">
        <v>10</v>
      </c>
      <c r="C7" s="13">
        <v>3.0</v>
      </c>
      <c r="D7" s="5">
        <v>3.0</v>
      </c>
      <c r="E7" s="5">
        <f t="shared" ref="E7:E38" si="1">C7-D7</f>
        <v>0</v>
      </c>
      <c r="F7" s="5" t="s">
        <v>129</v>
      </c>
    </row>
    <row r="8" ht="31.5" customHeight="1">
      <c r="A8" s="8">
        <v>46315.0</v>
      </c>
      <c r="B8" s="7" t="s">
        <v>10</v>
      </c>
      <c r="C8" s="13">
        <v>3.0</v>
      </c>
      <c r="D8" s="7">
        <v>3.0</v>
      </c>
      <c r="E8" s="7">
        <f t="shared" si="1"/>
        <v>0</v>
      </c>
      <c r="F8" s="7" t="s">
        <v>130</v>
      </c>
    </row>
    <row r="9" ht="31.5" customHeight="1">
      <c r="A9" s="6">
        <v>46316.0</v>
      </c>
      <c r="B9" s="5" t="s">
        <v>10</v>
      </c>
      <c r="C9" s="13">
        <v>2.0</v>
      </c>
      <c r="D9" s="5">
        <v>2.0</v>
      </c>
      <c r="E9" s="5">
        <f t="shared" si="1"/>
        <v>0</v>
      </c>
      <c r="F9" s="5" t="s">
        <v>131</v>
      </c>
    </row>
    <row r="10" ht="31.5" customHeight="1">
      <c r="A10" s="8">
        <v>46317.0</v>
      </c>
      <c r="B10" s="7" t="s">
        <v>10</v>
      </c>
      <c r="C10" s="13">
        <v>2.0</v>
      </c>
      <c r="D10" s="7">
        <v>2.0</v>
      </c>
      <c r="E10" s="7">
        <f t="shared" si="1"/>
        <v>0</v>
      </c>
      <c r="F10" s="7" t="s">
        <v>132</v>
      </c>
    </row>
    <row r="11" ht="31.5" customHeight="1">
      <c r="A11" s="6">
        <v>46318.0</v>
      </c>
      <c r="B11" s="5" t="s">
        <v>12</v>
      </c>
      <c r="C11" s="13">
        <v>2.0</v>
      </c>
      <c r="D11" s="5">
        <v>1.0</v>
      </c>
      <c r="E11" s="5">
        <f t="shared" si="1"/>
        <v>1</v>
      </c>
      <c r="F11" s="5" t="s">
        <v>133</v>
      </c>
    </row>
    <row r="12" ht="31.5" customHeight="1">
      <c r="A12" s="8">
        <v>46319.0</v>
      </c>
      <c r="B12" s="7" t="s">
        <v>12</v>
      </c>
      <c r="C12" s="13">
        <v>4.0</v>
      </c>
      <c r="D12" s="7">
        <v>4.0</v>
      </c>
      <c r="E12" s="7">
        <f t="shared" si="1"/>
        <v>0</v>
      </c>
      <c r="F12" s="7" t="s">
        <v>134</v>
      </c>
    </row>
    <row r="13" ht="31.5" customHeight="1">
      <c r="A13" s="6">
        <v>46320.0</v>
      </c>
      <c r="B13" s="5" t="s">
        <v>12</v>
      </c>
      <c r="C13" s="13">
        <v>4.0</v>
      </c>
      <c r="D13" s="5">
        <v>4.0</v>
      </c>
      <c r="E13" s="5">
        <f t="shared" si="1"/>
        <v>0</v>
      </c>
      <c r="F13" s="5" t="s">
        <v>135</v>
      </c>
    </row>
    <row r="14" ht="31.5" customHeight="1">
      <c r="A14" s="8">
        <v>46321.0</v>
      </c>
      <c r="B14" s="7" t="s">
        <v>12</v>
      </c>
      <c r="C14" s="13">
        <v>2.0</v>
      </c>
      <c r="D14" s="7">
        <v>2.0</v>
      </c>
      <c r="E14" s="7">
        <f t="shared" si="1"/>
        <v>0</v>
      </c>
      <c r="F14" s="7" t="s">
        <v>136</v>
      </c>
    </row>
    <row r="15" ht="31.5" customHeight="1">
      <c r="A15" s="6">
        <v>46322.0</v>
      </c>
      <c r="B15" s="5" t="s">
        <v>12</v>
      </c>
      <c r="C15" s="13">
        <v>2.0</v>
      </c>
      <c r="D15" s="5">
        <v>2.0</v>
      </c>
      <c r="E15" s="5">
        <f t="shared" si="1"/>
        <v>0</v>
      </c>
      <c r="F15" s="5" t="s">
        <v>137</v>
      </c>
    </row>
    <row r="16" ht="31.5" customHeight="1">
      <c r="A16" s="8">
        <v>46323.0</v>
      </c>
      <c r="B16" s="7" t="s">
        <v>12</v>
      </c>
      <c r="C16" s="13">
        <v>2.0</v>
      </c>
      <c r="D16" s="7">
        <v>2.0</v>
      </c>
      <c r="E16" s="7">
        <f t="shared" si="1"/>
        <v>0</v>
      </c>
      <c r="F16" s="7" t="s">
        <v>138</v>
      </c>
    </row>
    <row r="17" ht="31.5" customHeight="1">
      <c r="A17" s="6">
        <v>46324.0</v>
      </c>
      <c r="B17" s="5" t="s">
        <v>12</v>
      </c>
      <c r="C17" s="13">
        <v>2.0</v>
      </c>
      <c r="D17" s="5">
        <v>2.0</v>
      </c>
      <c r="E17" s="5">
        <f t="shared" si="1"/>
        <v>0</v>
      </c>
      <c r="F17" s="5" t="s">
        <v>139</v>
      </c>
    </row>
    <row r="18" ht="31.5" customHeight="1">
      <c r="A18" s="8">
        <v>46325.0</v>
      </c>
      <c r="B18" s="7" t="s">
        <v>14</v>
      </c>
      <c r="C18" s="13">
        <v>2.0</v>
      </c>
      <c r="D18" s="7">
        <v>2.0</v>
      </c>
      <c r="E18" s="7">
        <f t="shared" si="1"/>
        <v>0</v>
      </c>
      <c r="F18" s="7" t="s">
        <v>140</v>
      </c>
    </row>
    <row r="19" ht="31.5" customHeight="1">
      <c r="A19" s="6">
        <v>46326.0</v>
      </c>
      <c r="B19" s="5" t="s">
        <v>14</v>
      </c>
      <c r="C19" s="13">
        <v>4.0</v>
      </c>
      <c r="D19" s="5">
        <v>4.0</v>
      </c>
      <c r="E19" s="5">
        <f t="shared" si="1"/>
        <v>0</v>
      </c>
      <c r="F19" s="5" t="s">
        <v>141</v>
      </c>
    </row>
    <row r="20" ht="31.5" customHeight="1">
      <c r="A20" s="8">
        <v>46327.0</v>
      </c>
      <c r="B20" s="7" t="s">
        <v>14</v>
      </c>
      <c r="C20" s="13">
        <v>4.0</v>
      </c>
      <c r="D20" s="7">
        <v>4.0</v>
      </c>
      <c r="E20" s="7">
        <f t="shared" si="1"/>
        <v>0</v>
      </c>
      <c r="F20" s="7" t="s">
        <v>142</v>
      </c>
    </row>
    <row r="21" ht="31.5" customHeight="1">
      <c r="A21" s="6">
        <v>46328.0</v>
      </c>
      <c r="B21" s="5" t="s">
        <v>14</v>
      </c>
      <c r="C21" s="13">
        <v>2.0</v>
      </c>
      <c r="D21" s="5">
        <v>2.0</v>
      </c>
      <c r="E21" s="5">
        <f t="shared" si="1"/>
        <v>0</v>
      </c>
      <c r="F21" s="5" t="s">
        <v>143</v>
      </c>
    </row>
    <row r="22" ht="31.5" customHeight="1">
      <c r="A22" s="8">
        <v>46329.0</v>
      </c>
      <c r="B22" s="7" t="s">
        <v>14</v>
      </c>
      <c r="C22" s="13">
        <v>2.0</v>
      </c>
      <c r="D22" s="7">
        <v>2.0</v>
      </c>
      <c r="E22" s="7">
        <f t="shared" si="1"/>
        <v>0</v>
      </c>
      <c r="F22" s="7" t="s">
        <v>144</v>
      </c>
    </row>
    <row r="23" ht="31.5" customHeight="1">
      <c r="A23" s="6">
        <v>46330.0</v>
      </c>
      <c r="B23" s="5" t="s">
        <v>14</v>
      </c>
      <c r="C23" s="13">
        <v>2.0</v>
      </c>
      <c r="D23" s="5">
        <v>2.0</v>
      </c>
      <c r="E23" s="5">
        <f t="shared" si="1"/>
        <v>0</v>
      </c>
      <c r="F23" s="5" t="s">
        <v>145</v>
      </c>
    </row>
    <row r="24" ht="31.5" customHeight="1">
      <c r="A24" s="8">
        <v>46331.0</v>
      </c>
      <c r="B24" s="7" t="s">
        <v>14</v>
      </c>
      <c r="C24" s="13">
        <v>2.0</v>
      </c>
      <c r="D24" s="7">
        <v>2.0</v>
      </c>
      <c r="E24" s="7">
        <f t="shared" si="1"/>
        <v>0</v>
      </c>
      <c r="F24" s="7" t="s">
        <v>146</v>
      </c>
    </row>
    <row r="25" ht="31.5" customHeight="1">
      <c r="A25" s="6">
        <v>46332.0</v>
      </c>
      <c r="B25" s="5" t="s">
        <v>16</v>
      </c>
      <c r="C25" s="13">
        <v>2.0</v>
      </c>
      <c r="D25" s="5">
        <v>0.0</v>
      </c>
      <c r="E25" s="5">
        <f t="shared" si="1"/>
        <v>2</v>
      </c>
      <c r="F25" s="5" t="s">
        <v>147</v>
      </c>
    </row>
    <row r="26" ht="31.5" customHeight="1">
      <c r="A26" s="8">
        <v>46333.0</v>
      </c>
      <c r="B26" s="7" t="s">
        <v>16</v>
      </c>
      <c r="C26" s="13">
        <v>4.0</v>
      </c>
      <c r="D26" s="7">
        <v>3.0</v>
      </c>
      <c r="E26" s="7">
        <f t="shared" si="1"/>
        <v>1</v>
      </c>
      <c r="F26" s="7" t="s">
        <v>148</v>
      </c>
    </row>
    <row r="27" ht="31.5" customHeight="1">
      <c r="A27" s="6">
        <v>46334.0</v>
      </c>
      <c r="B27" s="5" t="s">
        <v>16</v>
      </c>
      <c r="C27" s="13">
        <v>4.0</v>
      </c>
      <c r="D27" s="5">
        <v>4.0</v>
      </c>
      <c r="E27" s="5">
        <f t="shared" si="1"/>
        <v>0</v>
      </c>
      <c r="F27" s="5" t="s">
        <v>149</v>
      </c>
    </row>
    <row r="28" ht="31.5" customHeight="1">
      <c r="A28" s="8">
        <v>46335.0</v>
      </c>
      <c r="B28" s="7" t="s">
        <v>16</v>
      </c>
      <c r="C28" s="13">
        <v>2.0</v>
      </c>
      <c r="D28" s="7">
        <v>2.0</v>
      </c>
      <c r="E28" s="7">
        <f t="shared" si="1"/>
        <v>0</v>
      </c>
      <c r="F28" s="7" t="s">
        <v>150</v>
      </c>
    </row>
    <row r="29" ht="31.5" customHeight="1">
      <c r="A29" s="6">
        <v>46336.0</v>
      </c>
      <c r="B29" s="5" t="s">
        <v>16</v>
      </c>
      <c r="C29" s="13">
        <v>2.0</v>
      </c>
      <c r="D29" s="5">
        <v>2.0</v>
      </c>
      <c r="E29" s="5">
        <f t="shared" si="1"/>
        <v>0</v>
      </c>
      <c r="F29" s="5" t="s">
        <v>151</v>
      </c>
    </row>
    <row r="30" ht="31.5" customHeight="1">
      <c r="A30" s="8">
        <v>46337.0</v>
      </c>
      <c r="B30" s="7" t="s">
        <v>16</v>
      </c>
      <c r="C30" s="13">
        <v>2.0</v>
      </c>
      <c r="D30" s="7">
        <v>2.0</v>
      </c>
      <c r="E30" s="7">
        <f t="shared" si="1"/>
        <v>0</v>
      </c>
      <c r="F30" s="7" t="s">
        <v>152</v>
      </c>
    </row>
    <row r="31" ht="31.5" customHeight="1">
      <c r="A31" s="6">
        <v>46338.0</v>
      </c>
      <c r="B31" s="5" t="s">
        <v>16</v>
      </c>
      <c r="C31" s="13">
        <v>2.0</v>
      </c>
      <c r="D31" s="5">
        <v>2.0</v>
      </c>
      <c r="E31" s="5">
        <f t="shared" si="1"/>
        <v>0</v>
      </c>
      <c r="F31" s="5" t="s">
        <v>153</v>
      </c>
    </row>
    <row r="32" ht="31.5" customHeight="1">
      <c r="A32" s="8">
        <v>46339.0</v>
      </c>
      <c r="B32" s="7" t="s">
        <v>18</v>
      </c>
      <c r="C32" s="13">
        <v>2.0</v>
      </c>
      <c r="D32" s="7">
        <v>0.0</v>
      </c>
      <c r="E32" s="7">
        <f t="shared" si="1"/>
        <v>2</v>
      </c>
      <c r="F32" s="7" t="s">
        <v>147</v>
      </c>
    </row>
    <row r="33" ht="31.5" customHeight="1">
      <c r="A33" s="6">
        <v>46340.0</v>
      </c>
      <c r="B33" s="5" t="s">
        <v>18</v>
      </c>
      <c r="C33" s="13">
        <v>4.0</v>
      </c>
      <c r="D33" s="5">
        <v>4.0</v>
      </c>
      <c r="E33" s="5">
        <f t="shared" si="1"/>
        <v>0</v>
      </c>
      <c r="F33" s="5" t="s">
        <v>154</v>
      </c>
    </row>
    <row r="34" ht="31.5" customHeight="1">
      <c r="A34" s="8">
        <v>46341.0</v>
      </c>
      <c r="B34" s="7" t="s">
        <v>18</v>
      </c>
      <c r="C34" s="13">
        <v>4.0</v>
      </c>
      <c r="D34" s="7">
        <v>4.0</v>
      </c>
      <c r="E34" s="7">
        <f t="shared" si="1"/>
        <v>0</v>
      </c>
      <c r="F34" s="7" t="s">
        <v>155</v>
      </c>
    </row>
    <row r="35" ht="31.5" customHeight="1">
      <c r="A35" s="6">
        <v>46342.0</v>
      </c>
      <c r="B35" s="5" t="s">
        <v>18</v>
      </c>
      <c r="C35" s="13">
        <v>2.0</v>
      </c>
      <c r="D35" s="5">
        <v>2.0</v>
      </c>
      <c r="E35" s="5">
        <f t="shared" si="1"/>
        <v>0</v>
      </c>
      <c r="F35" s="5" t="s">
        <v>156</v>
      </c>
    </row>
    <row r="36" ht="31.5" customHeight="1">
      <c r="A36" s="8">
        <v>46343.0</v>
      </c>
      <c r="B36" s="7" t="s">
        <v>18</v>
      </c>
      <c r="C36" s="13">
        <v>2.0</v>
      </c>
      <c r="D36" s="7">
        <v>2.0</v>
      </c>
      <c r="E36" s="7">
        <f t="shared" si="1"/>
        <v>0</v>
      </c>
      <c r="F36" s="7" t="s">
        <v>157</v>
      </c>
    </row>
    <row r="37" ht="31.5" customHeight="1">
      <c r="A37" s="6">
        <v>46344.0</v>
      </c>
      <c r="B37" s="5" t="s">
        <v>18</v>
      </c>
      <c r="C37" s="13">
        <v>2.0</v>
      </c>
      <c r="D37" s="5">
        <v>2.0</v>
      </c>
      <c r="E37" s="5">
        <f t="shared" si="1"/>
        <v>0</v>
      </c>
      <c r="F37" s="5" t="s">
        <v>158</v>
      </c>
    </row>
    <row r="38" ht="31.5" customHeight="1">
      <c r="A38" s="8">
        <v>46345.0</v>
      </c>
      <c r="B38" s="7" t="s">
        <v>18</v>
      </c>
      <c r="C38" s="13">
        <v>2.0</v>
      </c>
      <c r="D38" s="7">
        <v>2.0</v>
      </c>
      <c r="E38" s="7">
        <f t="shared" si="1"/>
        <v>0</v>
      </c>
      <c r="F38" s="7" t="s">
        <v>159</v>
      </c>
    </row>
    <row r="39" ht="21.75" customHeight="1">
      <c r="A39" s="1"/>
      <c r="B39" s="1"/>
      <c r="C39" s="1"/>
      <c r="D39" s="1"/>
      <c r="E39" s="1"/>
      <c r="F39" s="1"/>
    </row>
    <row r="40" ht="31.5" customHeight="1">
      <c r="A40" s="9" t="s">
        <v>160</v>
      </c>
    </row>
    <row r="41" ht="21.75" customHeight="1">
      <c r="A41" s="1"/>
      <c r="B41" s="1"/>
      <c r="C41" s="1"/>
      <c r="D41" s="1"/>
      <c r="E41" s="1"/>
      <c r="F41" s="1"/>
    </row>
    <row r="42" ht="31.5" customHeight="1">
      <c r="A42" s="9" t="s">
        <v>161</v>
      </c>
    </row>
    <row r="43" ht="21.75" customHeight="1">
      <c r="A43" s="1"/>
      <c r="B43" s="1"/>
      <c r="C43" s="1"/>
      <c r="D43" s="1"/>
      <c r="E43" s="1"/>
      <c r="F43" s="1"/>
    </row>
    <row r="44" ht="21.75" customHeight="1">
      <c r="A44" s="1"/>
      <c r="B44" s="1"/>
      <c r="C44" s="1"/>
      <c r="D44" s="1"/>
      <c r="E44" s="1"/>
      <c r="F44" s="1"/>
    </row>
    <row r="45" ht="21.75" customHeight="1">
      <c r="A45" s="1"/>
      <c r="B45" s="1"/>
      <c r="C45" s="1"/>
      <c r="D45" s="1"/>
      <c r="E45" s="1"/>
      <c r="F45" s="1"/>
    </row>
    <row r="46" ht="21.75" customHeight="1">
      <c r="A46" s="1"/>
      <c r="B46" s="1"/>
      <c r="C46" s="1"/>
      <c r="D46" s="1"/>
      <c r="E46" s="1"/>
      <c r="F46" s="1"/>
    </row>
    <row r="47" ht="21.75" customHeight="1">
      <c r="A47" s="1"/>
      <c r="B47" s="1"/>
      <c r="C47" s="1"/>
      <c r="D47" s="1"/>
      <c r="E47" s="1"/>
      <c r="F47" s="1"/>
    </row>
    <row r="48" ht="21.75" customHeight="1">
      <c r="A48" s="1"/>
      <c r="B48" s="1"/>
      <c r="C48" s="1"/>
      <c r="D48" s="1"/>
      <c r="E48" s="1"/>
      <c r="F48" s="1"/>
    </row>
    <row r="49" ht="21.75" customHeight="1">
      <c r="A49" s="1"/>
      <c r="B49" s="1"/>
      <c r="C49" s="1"/>
      <c r="D49" s="1"/>
      <c r="E49" s="1"/>
      <c r="F49" s="1"/>
    </row>
    <row r="50" ht="21.75" customHeight="1">
      <c r="A50" s="1"/>
      <c r="B50" s="1"/>
      <c r="C50" s="1"/>
      <c r="D50" s="1"/>
      <c r="E50" s="1"/>
      <c r="F50" s="1"/>
    </row>
    <row r="51" ht="21.75" customHeight="1">
      <c r="A51" s="1"/>
      <c r="B51" s="1"/>
      <c r="C51" s="1"/>
      <c r="D51" s="1"/>
      <c r="E51" s="1"/>
      <c r="F51" s="1"/>
    </row>
    <row r="52" ht="21.75" customHeight="1">
      <c r="A52" s="1"/>
      <c r="B52" s="1"/>
      <c r="C52" s="1"/>
      <c r="D52" s="1"/>
      <c r="E52" s="1"/>
      <c r="F52" s="1"/>
    </row>
    <row r="53" ht="21.75" customHeight="1">
      <c r="A53" s="1"/>
      <c r="B53" s="1"/>
      <c r="C53" s="1"/>
      <c r="D53" s="1"/>
      <c r="E53" s="1"/>
      <c r="F53" s="1"/>
    </row>
    <row r="54" ht="21.75" customHeight="1">
      <c r="A54" s="1"/>
      <c r="B54" s="1"/>
      <c r="C54" s="1"/>
      <c r="D54" s="1"/>
      <c r="E54" s="1"/>
      <c r="F54" s="1"/>
    </row>
    <row r="55" ht="21.75" customHeight="1">
      <c r="A55" s="1"/>
      <c r="B55" s="1"/>
      <c r="C55" s="1"/>
      <c r="D55" s="1"/>
      <c r="E55" s="1"/>
      <c r="F55" s="1"/>
    </row>
    <row r="56" ht="21.75" customHeight="1">
      <c r="A56" s="1"/>
      <c r="B56" s="1"/>
      <c r="C56" s="1"/>
      <c r="D56" s="1"/>
      <c r="E56" s="1"/>
      <c r="F56" s="1"/>
    </row>
    <row r="57" ht="21.75" customHeight="1">
      <c r="A57" s="1"/>
      <c r="B57" s="1"/>
      <c r="C57" s="1"/>
      <c r="D57" s="1"/>
      <c r="E57" s="1"/>
      <c r="F57" s="1"/>
    </row>
    <row r="58" ht="21.75" customHeight="1">
      <c r="A58" s="1"/>
      <c r="B58" s="1"/>
      <c r="C58" s="1"/>
      <c r="D58" s="1"/>
      <c r="E58" s="1"/>
      <c r="F58" s="1"/>
    </row>
    <row r="59" ht="21.75" customHeight="1">
      <c r="A59" s="1"/>
      <c r="B59" s="1"/>
      <c r="C59" s="1"/>
      <c r="D59" s="1"/>
      <c r="E59" s="1"/>
      <c r="F59" s="1"/>
    </row>
    <row r="60" ht="21.75" customHeight="1">
      <c r="A60" s="1"/>
      <c r="B60" s="1"/>
      <c r="C60" s="1"/>
      <c r="D60" s="1"/>
      <c r="E60" s="1"/>
      <c r="F60" s="1"/>
    </row>
    <row r="61" ht="21.75" customHeight="1">
      <c r="A61" s="1"/>
      <c r="B61" s="1"/>
      <c r="C61" s="1"/>
      <c r="D61" s="1"/>
      <c r="E61" s="1"/>
      <c r="F61" s="1"/>
    </row>
    <row r="62" ht="21.75" customHeight="1">
      <c r="A62" s="1"/>
      <c r="B62" s="1"/>
      <c r="C62" s="1"/>
      <c r="D62" s="1"/>
      <c r="E62" s="1"/>
      <c r="F62" s="1"/>
    </row>
    <row r="63" ht="21.75" customHeight="1">
      <c r="A63" s="1"/>
      <c r="B63" s="1"/>
      <c r="C63" s="1"/>
      <c r="D63" s="1"/>
      <c r="E63" s="1"/>
      <c r="F63" s="1"/>
    </row>
    <row r="64" ht="21.75" customHeight="1">
      <c r="A64" s="1"/>
      <c r="B64" s="1"/>
      <c r="C64" s="1"/>
      <c r="D64" s="1"/>
      <c r="E64" s="1"/>
      <c r="F64" s="1"/>
    </row>
    <row r="65" ht="21.75" customHeight="1">
      <c r="A65" s="1"/>
      <c r="B65" s="1"/>
      <c r="C65" s="1"/>
      <c r="D65" s="1"/>
      <c r="E65" s="1"/>
      <c r="F65" s="1"/>
    </row>
    <row r="66" ht="21.75" customHeight="1">
      <c r="A66" s="1"/>
      <c r="B66" s="1"/>
      <c r="C66" s="1"/>
      <c r="D66" s="1"/>
      <c r="E66" s="1"/>
      <c r="F66" s="1"/>
    </row>
    <row r="67" ht="21.75" customHeight="1">
      <c r="A67" s="1"/>
      <c r="B67" s="1"/>
      <c r="C67" s="1"/>
      <c r="D67" s="1"/>
      <c r="E67" s="1"/>
      <c r="F67" s="1"/>
    </row>
    <row r="68" ht="21.75" customHeight="1">
      <c r="A68" s="1"/>
      <c r="B68" s="1"/>
      <c r="C68" s="1"/>
      <c r="D68" s="1"/>
      <c r="E68" s="1"/>
      <c r="F68" s="1"/>
    </row>
    <row r="69" ht="21.75" customHeight="1">
      <c r="A69" s="1"/>
      <c r="B69" s="1"/>
      <c r="C69" s="1"/>
      <c r="D69" s="1"/>
      <c r="E69" s="1"/>
      <c r="F69" s="1"/>
    </row>
    <row r="70" ht="21.75" customHeight="1">
      <c r="A70" s="1"/>
      <c r="B70" s="1"/>
      <c r="C70" s="1"/>
      <c r="D70" s="1"/>
      <c r="E70" s="1"/>
      <c r="F70" s="1"/>
    </row>
    <row r="71" ht="21.75" customHeight="1">
      <c r="A71" s="1"/>
      <c r="B71" s="1"/>
      <c r="C71" s="1"/>
      <c r="D71" s="1"/>
      <c r="E71" s="1"/>
      <c r="F71" s="1"/>
    </row>
    <row r="72" ht="21.75" customHeight="1">
      <c r="A72" s="1"/>
      <c r="B72" s="1"/>
      <c r="C72" s="1"/>
      <c r="D72" s="1"/>
      <c r="E72" s="1"/>
      <c r="F72" s="1"/>
    </row>
    <row r="73" ht="21.75" customHeight="1">
      <c r="A73" s="1"/>
      <c r="B73" s="1"/>
      <c r="C73" s="1"/>
      <c r="D73" s="1"/>
      <c r="E73" s="1"/>
      <c r="F73" s="1"/>
    </row>
    <row r="74" ht="21.75" customHeight="1">
      <c r="A74" s="1"/>
      <c r="B74" s="1"/>
      <c r="C74" s="1"/>
      <c r="D74" s="1"/>
      <c r="E74" s="1"/>
      <c r="F74" s="1"/>
    </row>
    <row r="75" ht="21.75" customHeight="1">
      <c r="A75" s="1"/>
      <c r="B75" s="1"/>
      <c r="C75" s="1"/>
      <c r="D75" s="1"/>
      <c r="E75" s="1"/>
      <c r="F75" s="1"/>
    </row>
    <row r="76" ht="21.75" customHeight="1">
      <c r="A76" s="1"/>
      <c r="B76" s="1"/>
      <c r="C76" s="1"/>
      <c r="D76" s="1"/>
      <c r="E76" s="1"/>
      <c r="F76" s="1"/>
    </row>
    <row r="77" ht="21.75" customHeight="1">
      <c r="A77" s="1"/>
      <c r="B77" s="1"/>
      <c r="C77" s="1"/>
      <c r="D77" s="1"/>
      <c r="E77" s="1"/>
      <c r="F77" s="1"/>
    </row>
    <row r="78" ht="21.75" customHeight="1">
      <c r="A78" s="1"/>
      <c r="B78" s="1"/>
      <c r="C78" s="1"/>
      <c r="D78" s="1"/>
      <c r="E78" s="1"/>
      <c r="F78" s="1"/>
    </row>
    <row r="79" ht="21.75" customHeight="1">
      <c r="A79" s="1"/>
      <c r="B79" s="1"/>
      <c r="C79" s="1"/>
      <c r="D79" s="1"/>
      <c r="E79" s="1"/>
      <c r="F79" s="1"/>
    </row>
    <row r="80" ht="21.75" customHeight="1">
      <c r="A80" s="1"/>
      <c r="B80" s="1"/>
      <c r="C80" s="1"/>
      <c r="D80" s="1"/>
      <c r="E80" s="1"/>
      <c r="F80" s="1"/>
    </row>
    <row r="81" ht="21.75" customHeight="1">
      <c r="A81" s="1"/>
      <c r="B81" s="1"/>
      <c r="C81" s="1"/>
      <c r="D81" s="1"/>
      <c r="E81" s="1"/>
      <c r="F81" s="1"/>
    </row>
    <row r="82" ht="21.75" customHeight="1">
      <c r="A82" s="1"/>
      <c r="B82" s="1"/>
      <c r="C82" s="1"/>
      <c r="D82" s="1"/>
      <c r="E82" s="1"/>
      <c r="F82" s="1"/>
    </row>
    <row r="83" ht="21.75" customHeight="1">
      <c r="A83" s="1"/>
      <c r="B83" s="1"/>
      <c r="C83" s="1"/>
      <c r="D83" s="1"/>
      <c r="E83" s="1"/>
      <c r="F83" s="1"/>
    </row>
    <row r="84" ht="21.75" customHeight="1">
      <c r="A84" s="1"/>
      <c r="B84" s="1"/>
      <c r="C84" s="1"/>
      <c r="D84" s="1"/>
      <c r="E84" s="1"/>
      <c r="F84" s="1"/>
    </row>
    <row r="85" ht="21.75" customHeight="1">
      <c r="A85" s="1"/>
      <c r="B85" s="1"/>
      <c r="C85" s="1"/>
      <c r="D85" s="1"/>
      <c r="E85" s="1"/>
      <c r="F85" s="1"/>
    </row>
    <row r="86" ht="21.75" customHeight="1">
      <c r="A86" s="1"/>
      <c r="B86" s="1"/>
      <c r="C86" s="1"/>
      <c r="D86" s="1"/>
      <c r="E86" s="1"/>
      <c r="F86" s="1"/>
    </row>
    <row r="87" ht="21.75" customHeight="1">
      <c r="A87" s="1"/>
      <c r="B87" s="1"/>
      <c r="C87" s="1"/>
      <c r="D87" s="1"/>
      <c r="E87" s="1"/>
      <c r="F87" s="1"/>
    </row>
    <row r="88" ht="21.75" customHeight="1">
      <c r="A88" s="1"/>
      <c r="B88" s="1"/>
      <c r="C88" s="1"/>
      <c r="D88" s="1"/>
      <c r="E88" s="1"/>
      <c r="F88" s="1"/>
    </row>
    <row r="89" ht="21.75" customHeight="1">
      <c r="A89" s="1"/>
      <c r="B89" s="1"/>
      <c r="C89" s="1"/>
      <c r="D89" s="1"/>
      <c r="E89" s="1"/>
      <c r="F89" s="1"/>
    </row>
    <row r="90" ht="21.75" customHeight="1">
      <c r="A90" s="1"/>
      <c r="B90" s="1"/>
      <c r="C90" s="1"/>
      <c r="D90" s="1"/>
      <c r="E90" s="1"/>
      <c r="F90" s="1"/>
    </row>
    <row r="91" ht="21.75" customHeight="1">
      <c r="A91" s="1"/>
      <c r="B91" s="1"/>
      <c r="C91" s="1"/>
      <c r="D91" s="1"/>
      <c r="E91" s="1"/>
      <c r="F91" s="1"/>
    </row>
    <row r="92" ht="21.75" customHeight="1">
      <c r="A92" s="1"/>
      <c r="B92" s="1"/>
      <c r="C92" s="1"/>
      <c r="D92" s="1"/>
      <c r="E92" s="1"/>
      <c r="F92" s="1"/>
    </row>
    <row r="93" ht="21.75" customHeight="1">
      <c r="A93" s="1"/>
      <c r="B93" s="1"/>
      <c r="C93" s="1"/>
      <c r="D93" s="1"/>
      <c r="E93" s="1"/>
      <c r="F93" s="1"/>
    </row>
    <row r="94" ht="21.75" customHeight="1">
      <c r="A94" s="1"/>
      <c r="B94" s="1"/>
      <c r="C94" s="1"/>
      <c r="D94" s="1"/>
      <c r="E94" s="1"/>
      <c r="F94" s="1"/>
    </row>
    <row r="95" ht="21.75" customHeight="1">
      <c r="A95" s="1"/>
      <c r="B95" s="1"/>
      <c r="C95" s="1"/>
      <c r="D95" s="1"/>
      <c r="E95" s="1"/>
      <c r="F95" s="1"/>
    </row>
    <row r="96" ht="21.75" customHeight="1">
      <c r="A96" s="1"/>
      <c r="B96" s="1"/>
      <c r="C96" s="1"/>
      <c r="D96" s="1"/>
      <c r="E96" s="1"/>
      <c r="F96" s="1"/>
    </row>
    <row r="97" ht="21.75" customHeight="1">
      <c r="A97" s="1"/>
      <c r="B97" s="1"/>
      <c r="C97" s="1"/>
      <c r="D97" s="1"/>
      <c r="E97" s="1"/>
      <c r="F97" s="1"/>
    </row>
    <row r="98" ht="21.75" customHeight="1">
      <c r="A98" s="1"/>
      <c r="B98" s="1"/>
      <c r="C98" s="1"/>
      <c r="D98" s="1"/>
      <c r="E98" s="1"/>
      <c r="F98" s="1"/>
    </row>
    <row r="99" ht="21.75" customHeight="1">
      <c r="A99" s="1"/>
      <c r="B99" s="1"/>
      <c r="C99" s="1"/>
      <c r="D99" s="1"/>
      <c r="E99" s="1"/>
      <c r="F99" s="1"/>
    </row>
    <row r="100" ht="21.75" customHeight="1">
      <c r="A100" s="1"/>
      <c r="B100" s="1"/>
      <c r="C100" s="1"/>
      <c r="D100" s="1"/>
      <c r="E100" s="1"/>
      <c r="F100" s="1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40:F40"/>
    <mergeCell ref="A42:F42"/>
  </mergeCells>
  <conditionalFormatting sqref="E7:E38">
    <cfRule type="cellIs" dxfId="0" priority="1" operator="lessThan">
      <formula>0</formula>
    </cfRule>
  </conditionalFormatting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11.0"/>
    <col customWidth="1" min="2" max="2" width="44.0"/>
    <col customWidth="1" min="3" max="7" width="14.0"/>
    <col customWidth="1" min="8" max="26" width="8.63"/>
  </cols>
  <sheetData>
    <row r="1" ht="21.75" customHeight="1">
      <c r="A1" s="1"/>
      <c r="B1" s="1"/>
      <c r="C1" s="1"/>
      <c r="D1" s="1"/>
      <c r="E1" s="1"/>
      <c r="F1" s="1"/>
      <c r="G1" s="1"/>
    </row>
    <row r="2" ht="30.0" customHeight="1">
      <c r="A2" s="2" t="s">
        <v>162</v>
      </c>
      <c r="B2" s="1"/>
      <c r="C2" s="1"/>
      <c r="D2" s="1"/>
      <c r="E2" s="1"/>
      <c r="F2" s="1"/>
      <c r="G2" s="1"/>
    </row>
    <row r="3" ht="21.75" customHeight="1">
      <c r="A3" s="1"/>
      <c r="B3" s="1"/>
      <c r="C3" s="1"/>
      <c r="D3" s="1"/>
      <c r="E3" s="1"/>
      <c r="F3" s="1"/>
      <c r="G3" s="1"/>
    </row>
    <row r="4" ht="21.75" customHeight="1">
      <c r="A4" s="1"/>
      <c r="B4" s="1"/>
      <c r="C4" s="1"/>
      <c r="D4" s="1"/>
      <c r="E4" s="1"/>
      <c r="F4" s="1"/>
      <c r="G4" s="1"/>
    </row>
    <row r="5" ht="21.75" customHeight="1">
      <c r="A5" s="1"/>
      <c r="B5" s="1"/>
      <c r="C5" s="1"/>
      <c r="D5" s="1"/>
      <c r="E5" s="1"/>
      <c r="F5" s="1"/>
      <c r="G5" s="1"/>
    </row>
    <row r="6" ht="31.5" customHeight="1">
      <c r="A6" s="4" t="s">
        <v>31</v>
      </c>
      <c r="B6" s="4" t="s">
        <v>32</v>
      </c>
      <c r="C6" s="4" t="s">
        <v>163</v>
      </c>
      <c r="D6" s="4" t="s">
        <v>164</v>
      </c>
      <c r="E6" s="4" t="s">
        <v>165</v>
      </c>
      <c r="F6" s="4" t="s">
        <v>166</v>
      </c>
      <c r="G6" s="4" t="s">
        <v>167</v>
      </c>
    </row>
    <row r="7" ht="28.5" customHeight="1">
      <c r="A7" s="5" t="s">
        <v>46</v>
      </c>
      <c r="B7" s="5" t="s">
        <v>47</v>
      </c>
      <c r="C7" s="15">
        <f>IF(AND(Atividades!$G7&lt;=Releases!$C7,Atividades!$H7&gt;=Releases!$B7),1,0)</f>
        <v>1</v>
      </c>
      <c r="D7" s="15">
        <f>IF(AND(Atividades!$G7&lt;=Releases!$C8,Atividades!$H7&gt;=Releases!$B8),1,0)</f>
        <v>0</v>
      </c>
      <c r="E7" s="15">
        <f>IF(AND(Atividades!$G7&lt;=Releases!$C9,Atividades!$H7&gt;=Releases!$B9),1,0)</f>
        <v>0</v>
      </c>
      <c r="F7" s="15">
        <f>IF(AND(Atividades!$G7&lt;=Releases!$C10,Atividades!$H7&gt;=Releases!$B10),1,0)</f>
        <v>0</v>
      </c>
      <c r="G7" s="15">
        <f>IF(AND(Atividades!$G7&lt;=Releases!$C11,Atividades!$H7&gt;=Releases!$B11),1,0)</f>
        <v>0</v>
      </c>
    </row>
    <row r="8" ht="28.5" customHeight="1">
      <c r="A8" s="7" t="s">
        <v>49</v>
      </c>
      <c r="B8" s="7" t="s">
        <v>50</v>
      </c>
      <c r="C8" s="16">
        <f>IF(AND(Atividades!$G8&lt;=Releases!$C7,Atividades!$H8&gt;=Releases!$B7),1,0)</f>
        <v>1</v>
      </c>
      <c r="D8" s="16">
        <f>IF(AND(Atividades!$G8&lt;=Releases!$C8,Atividades!$H8&gt;=Releases!$B8),1,0)</f>
        <v>0</v>
      </c>
      <c r="E8" s="16">
        <f>IF(AND(Atividades!$G8&lt;=Releases!$C9,Atividades!$H8&gt;=Releases!$B9),1,0)</f>
        <v>0</v>
      </c>
      <c r="F8" s="16">
        <f>IF(AND(Atividades!$G8&lt;=Releases!$C10,Atividades!$H8&gt;=Releases!$B10),1,0)</f>
        <v>0</v>
      </c>
      <c r="G8" s="16">
        <f>IF(AND(Atividades!$G8&lt;=Releases!$C11,Atividades!$H8&gt;=Releases!$B11),1,0)</f>
        <v>0</v>
      </c>
    </row>
    <row r="9" ht="28.5" customHeight="1">
      <c r="A9" s="5" t="s">
        <v>52</v>
      </c>
      <c r="B9" s="5" t="s">
        <v>53</v>
      </c>
      <c r="C9" s="15">
        <f>IF(AND(Atividades!$G9&lt;=Releases!$C7,Atividades!$H9&gt;=Releases!$B7),1,0)</f>
        <v>1</v>
      </c>
      <c r="D9" s="15">
        <f>IF(AND(Atividades!$G9&lt;=Releases!$C8,Atividades!$H9&gt;=Releases!$B8),1,0)</f>
        <v>0</v>
      </c>
      <c r="E9" s="15">
        <f>IF(AND(Atividades!$G9&lt;=Releases!$C9,Atividades!$H9&gt;=Releases!$B9),1,0)</f>
        <v>0</v>
      </c>
      <c r="F9" s="15">
        <f>IF(AND(Atividades!$G9&lt;=Releases!$C10,Atividades!$H9&gt;=Releases!$B10),1,0)</f>
        <v>0</v>
      </c>
      <c r="G9" s="15">
        <f>IF(AND(Atividades!$G9&lt;=Releases!$C11,Atividades!$H9&gt;=Releases!$B11),1,0)</f>
        <v>0</v>
      </c>
    </row>
    <row r="10" ht="28.5" customHeight="1">
      <c r="A10" s="7" t="s">
        <v>55</v>
      </c>
      <c r="B10" s="7" t="s">
        <v>56</v>
      </c>
      <c r="C10" s="16">
        <f>IF(AND(Atividades!$G10&lt;=Releases!$C7,Atividades!$H10&gt;=Releases!$B7),1,0)</f>
        <v>1</v>
      </c>
      <c r="D10" s="16">
        <f>IF(AND(Atividades!$G10&lt;=Releases!$C8,Atividades!$H10&gt;=Releases!$B8),1,0)</f>
        <v>0</v>
      </c>
      <c r="E10" s="16">
        <f>IF(AND(Atividades!$G10&lt;=Releases!$C9,Atividades!$H10&gt;=Releases!$B9),1,0)</f>
        <v>0</v>
      </c>
      <c r="F10" s="16">
        <f>IF(AND(Atividades!$G10&lt;=Releases!$C10,Atividades!$H10&gt;=Releases!$B10),1,0)</f>
        <v>0</v>
      </c>
      <c r="G10" s="16">
        <f>IF(AND(Atividades!$G10&lt;=Releases!$C11,Atividades!$H10&gt;=Releases!$B11),1,0)</f>
        <v>0</v>
      </c>
    </row>
    <row r="11" ht="28.5" customHeight="1">
      <c r="A11" s="5" t="s">
        <v>59</v>
      </c>
      <c r="B11" s="5" t="s">
        <v>60</v>
      </c>
      <c r="C11" s="15">
        <f>IF(AND(Atividades!$G11&lt;=Releases!$C7,Atividades!$H11&gt;=Releases!$B7),1,0)</f>
        <v>1</v>
      </c>
      <c r="D11" s="15">
        <f>IF(AND(Atividades!$G11&lt;=Releases!$C8,Atividades!$H11&gt;=Releases!$B8),1,0)</f>
        <v>0</v>
      </c>
      <c r="E11" s="15">
        <f>IF(AND(Atividades!$G11&lt;=Releases!$C9,Atividades!$H11&gt;=Releases!$B9),1,0)</f>
        <v>0</v>
      </c>
      <c r="F11" s="15">
        <f>IF(AND(Atividades!$G11&lt;=Releases!$C10,Atividades!$H11&gt;=Releases!$B10),1,0)</f>
        <v>0</v>
      </c>
      <c r="G11" s="15">
        <f>IF(AND(Atividades!$G11&lt;=Releases!$C11,Atividades!$H11&gt;=Releases!$B11),1,0)</f>
        <v>0</v>
      </c>
    </row>
    <row r="12" ht="28.5" customHeight="1">
      <c r="A12" s="7" t="s">
        <v>62</v>
      </c>
      <c r="B12" s="7" t="s">
        <v>63</v>
      </c>
      <c r="C12" s="16">
        <f>IF(AND(Atividades!$G12&lt;=Releases!$C7,Atividades!$H12&gt;=Releases!$B7),1,0)</f>
        <v>0</v>
      </c>
      <c r="D12" s="16">
        <f>IF(AND(Atividades!$G12&lt;=Releases!$C8,Atividades!$H12&gt;=Releases!$B8),1,0)</f>
        <v>1</v>
      </c>
      <c r="E12" s="16">
        <f>IF(AND(Atividades!$G12&lt;=Releases!$C9,Atividades!$H12&gt;=Releases!$B9),1,0)</f>
        <v>0</v>
      </c>
      <c r="F12" s="16">
        <f>IF(AND(Atividades!$G12&lt;=Releases!$C10,Atividades!$H12&gt;=Releases!$B10),1,0)</f>
        <v>0</v>
      </c>
      <c r="G12" s="16">
        <f>IF(AND(Atividades!$G12&lt;=Releases!$C11,Atividades!$H12&gt;=Releases!$B11),1,0)</f>
        <v>0</v>
      </c>
    </row>
    <row r="13" ht="28.5" customHeight="1">
      <c r="A13" s="5" t="s">
        <v>65</v>
      </c>
      <c r="B13" s="5" t="s">
        <v>66</v>
      </c>
      <c r="C13" s="15">
        <f>IF(AND(Atividades!$G13&lt;=Releases!$C7,Atividades!$H13&gt;=Releases!$B7),1,0)</f>
        <v>0</v>
      </c>
      <c r="D13" s="15">
        <f>IF(AND(Atividades!$G13&lt;=Releases!$C8,Atividades!$H13&gt;=Releases!$B8),1,0)</f>
        <v>1</v>
      </c>
      <c r="E13" s="15">
        <f>IF(AND(Atividades!$G13&lt;=Releases!$C9,Atividades!$H13&gt;=Releases!$B9),1,0)</f>
        <v>0</v>
      </c>
      <c r="F13" s="15">
        <f>IF(AND(Atividades!$G13&lt;=Releases!$C10,Atividades!$H13&gt;=Releases!$B10),1,0)</f>
        <v>0</v>
      </c>
      <c r="G13" s="15">
        <f>IF(AND(Atividades!$G13&lt;=Releases!$C11,Atividades!$H13&gt;=Releases!$B11),1,0)</f>
        <v>0</v>
      </c>
    </row>
    <row r="14" ht="28.5" customHeight="1">
      <c r="A14" s="7" t="s">
        <v>68</v>
      </c>
      <c r="B14" s="7" t="s">
        <v>69</v>
      </c>
      <c r="C14" s="16">
        <f>IF(AND(Atividades!$G14&lt;=Releases!$C7,Atividades!$H14&gt;=Releases!$B7),1,0)</f>
        <v>0</v>
      </c>
      <c r="D14" s="16">
        <f>IF(AND(Atividades!$G14&lt;=Releases!$C8,Atividades!$H14&gt;=Releases!$B8),1,0)</f>
        <v>1</v>
      </c>
      <c r="E14" s="16">
        <f>IF(AND(Atividades!$G14&lt;=Releases!$C9,Atividades!$H14&gt;=Releases!$B9),1,0)</f>
        <v>0</v>
      </c>
      <c r="F14" s="16">
        <f>IF(AND(Atividades!$G14&lt;=Releases!$C10,Atividades!$H14&gt;=Releases!$B10),1,0)</f>
        <v>0</v>
      </c>
      <c r="G14" s="16">
        <f>IF(AND(Atividades!$G14&lt;=Releases!$C11,Atividades!$H14&gt;=Releases!$B11),1,0)</f>
        <v>0</v>
      </c>
    </row>
    <row r="15" ht="28.5" customHeight="1">
      <c r="A15" s="5" t="s">
        <v>71</v>
      </c>
      <c r="B15" s="5" t="s">
        <v>72</v>
      </c>
      <c r="C15" s="15">
        <f>IF(AND(Atividades!$G15&lt;=Releases!$C7,Atividades!$H15&gt;=Releases!$B7),1,0)</f>
        <v>0</v>
      </c>
      <c r="D15" s="15">
        <f>IF(AND(Atividades!$G15&lt;=Releases!$C8,Atividades!$H15&gt;=Releases!$B8),1,0)</f>
        <v>1</v>
      </c>
      <c r="E15" s="15">
        <f>IF(AND(Atividades!$G15&lt;=Releases!$C9,Atividades!$H15&gt;=Releases!$B9),1,0)</f>
        <v>0</v>
      </c>
      <c r="F15" s="15">
        <f>IF(AND(Atividades!$G15&lt;=Releases!$C10,Atividades!$H15&gt;=Releases!$B10),1,0)</f>
        <v>0</v>
      </c>
      <c r="G15" s="15">
        <f>IF(AND(Atividades!$G15&lt;=Releases!$C11,Atividades!$H15&gt;=Releases!$B11),1,0)</f>
        <v>0</v>
      </c>
    </row>
    <row r="16" ht="28.5" customHeight="1">
      <c r="A16" s="7" t="s">
        <v>74</v>
      </c>
      <c r="B16" s="7" t="s">
        <v>75</v>
      </c>
      <c r="C16" s="16">
        <f>IF(AND(Atividades!$G16&lt;=Releases!$C7,Atividades!$H16&gt;=Releases!$B7),1,0)</f>
        <v>0</v>
      </c>
      <c r="D16" s="16">
        <f>IF(AND(Atividades!$G16&lt;=Releases!$C8,Atividades!$H16&gt;=Releases!$B8),1,0)</f>
        <v>1</v>
      </c>
      <c r="E16" s="16">
        <f>IF(AND(Atividades!$G16&lt;=Releases!$C9,Atividades!$H16&gt;=Releases!$B9),1,0)</f>
        <v>0</v>
      </c>
      <c r="F16" s="16">
        <f>IF(AND(Atividades!$G16&lt;=Releases!$C10,Atividades!$H16&gt;=Releases!$B10),1,0)</f>
        <v>0</v>
      </c>
      <c r="G16" s="16">
        <f>IF(AND(Atividades!$G16&lt;=Releases!$C11,Atividades!$H16&gt;=Releases!$B11),1,0)</f>
        <v>0</v>
      </c>
    </row>
    <row r="17" ht="28.5" customHeight="1">
      <c r="A17" s="5" t="s">
        <v>78</v>
      </c>
      <c r="B17" s="5" t="s">
        <v>79</v>
      </c>
      <c r="C17" s="15">
        <f>IF(AND(Atividades!$G17&lt;=Releases!$C7,Atividades!$H17&gt;=Releases!$B7),1,0)</f>
        <v>0</v>
      </c>
      <c r="D17" s="15">
        <f>IF(AND(Atividades!$G17&lt;=Releases!$C8,Atividades!$H17&gt;=Releases!$B8),1,0)</f>
        <v>1</v>
      </c>
      <c r="E17" s="15">
        <f>IF(AND(Atividades!$G17&lt;=Releases!$C9,Atividades!$H17&gt;=Releases!$B9),1,0)</f>
        <v>0</v>
      </c>
      <c r="F17" s="15">
        <f>IF(AND(Atividades!$G17&lt;=Releases!$C10,Atividades!$H17&gt;=Releases!$B10),1,0)</f>
        <v>0</v>
      </c>
      <c r="G17" s="15">
        <f>IF(AND(Atividades!$G17&lt;=Releases!$C11,Atividades!$H17&gt;=Releases!$B11),1,0)</f>
        <v>0</v>
      </c>
    </row>
    <row r="18" ht="28.5" customHeight="1">
      <c r="A18" s="7" t="s">
        <v>80</v>
      </c>
      <c r="B18" s="7" t="s">
        <v>81</v>
      </c>
      <c r="C18" s="16">
        <f>IF(AND(Atividades!$G18&lt;=Releases!$C7,Atividades!$H18&gt;=Releases!$B7),1,0)</f>
        <v>0</v>
      </c>
      <c r="D18" s="16">
        <f>IF(AND(Atividades!$G18&lt;=Releases!$C8,Atividades!$H18&gt;=Releases!$B8),1,0)</f>
        <v>0</v>
      </c>
      <c r="E18" s="16">
        <f>IF(AND(Atividades!$G18&lt;=Releases!$C9,Atividades!$H18&gt;=Releases!$B9),1,0)</f>
        <v>1</v>
      </c>
      <c r="F18" s="16">
        <f>IF(AND(Atividades!$G18&lt;=Releases!$C10,Atividades!$H18&gt;=Releases!$B10),1,0)</f>
        <v>0</v>
      </c>
      <c r="G18" s="16">
        <f>IF(AND(Atividades!$G18&lt;=Releases!$C11,Atividades!$H18&gt;=Releases!$B11),1,0)</f>
        <v>0</v>
      </c>
    </row>
    <row r="19" ht="28.5" customHeight="1">
      <c r="A19" s="5" t="s">
        <v>83</v>
      </c>
      <c r="B19" s="5" t="s">
        <v>84</v>
      </c>
      <c r="C19" s="15">
        <f>IF(AND(Atividades!$G19&lt;=Releases!$C7,Atividades!$H19&gt;=Releases!$B7),1,0)</f>
        <v>0</v>
      </c>
      <c r="D19" s="15">
        <f>IF(AND(Atividades!$G19&lt;=Releases!$C8,Atividades!$H19&gt;=Releases!$B8),1,0)</f>
        <v>0</v>
      </c>
      <c r="E19" s="15">
        <f>IF(AND(Atividades!$G19&lt;=Releases!$C9,Atividades!$H19&gt;=Releases!$B9),1,0)</f>
        <v>1</v>
      </c>
      <c r="F19" s="15">
        <f>IF(AND(Atividades!$G19&lt;=Releases!$C10,Atividades!$H19&gt;=Releases!$B10),1,0)</f>
        <v>0</v>
      </c>
      <c r="G19" s="15">
        <f>IF(AND(Atividades!$G19&lt;=Releases!$C11,Atividades!$H19&gt;=Releases!$B11),1,0)</f>
        <v>0</v>
      </c>
    </row>
    <row r="20" ht="28.5" customHeight="1">
      <c r="A20" s="7" t="s">
        <v>86</v>
      </c>
      <c r="B20" s="7" t="s">
        <v>87</v>
      </c>
      <c r="C20" s="16">
        <f>IF(AND(Atividades!$G20&lt;=Releases!$C7,Atividades!$H20&gt;=Releases!$B7),1,0)</f>
        <v>0</v>
      </c>
      <c r="D20" s="16">
        <f>IF(AND(Atividades!$G20&lt;=Releases!$C8,Atividades!$H20&gt;=Releases!$B8),1,0)</f>
        <v>0</v>
      </c>
      <c r="E20" s="16">
        <f>IF(AND(Atividades!$G20&lt;=Releases!$C9,Atividades!$H20&gt;=Releases!$B9),1,0)</f>
        <v>1</v>
      </c>
      <c r="F20" s="16">
        <f>IF(AND(Atividades!$G20&lt;=Releases!$C10,Atividades!$H20&gt;=Releases!$B10),1,0)</f>
        <v>0</v>
      </c>
      <c r="G20" s="16">
        <f>IF(AND(Atividades!$G20&lt;=Releases!$C11,Atividades!$H20&gt;=Releases!$B11),1,0)</f>
        <v>0</v>
      </c>
    </row>
    <row r="21" ht="28.5" customHeight="1">
      <c r="A21" s="5" t="s">
        <v>89</v>
      </c>
      <c r="B21" s="5" t="s">
        <v>90</v>
      </c>
      <c r="C21" s="15">
        <f>IF(AND(Atividades!$G21&lt;=Releases!$C7,Atividades!$H21&gt;=Releases!$B7),1,0)</f>
        <v>0</v>
      </c>
      <c r="D21" s="15">
        <f>IF(AND(Atividades!$G21&lt;=Releases!$C8,Atividades!$H21&gt;=Releases!$B8),1,0)</f>
        <v>0</v>
      </c>
      <c r="E21" s="15">
        <f>IF(AND(Atividades!$G21&lt;=Releases!$C9,Atividades!$H21&gt;=Releases!$B9),1,0)</f>
        <v>1</v>
      </c>
      <c r="F21" s="15">
        <f>IF(AND(Atividades!$G21&lt;=Releases!$C10,Atividades!$H21&gt;=Releases!$B10),1,0)</f>
        <v>0</v>
      </c>
      <c r="G21" s="15">
        <f>IF(AND(Atividades!$G21&lt;=Releases!$C11,Atividades!$H21&gt;=Releases!$B11),1,0)</f>
        <v>0</v>
      </c>
    </row>
    <row r="22" ht="28.5" customHeight="1">
      <c r="A22" s="7" t="s">
        <v>93</v>
      </c>
      <c r="B22" s="7" t="s">
        <v>94</v>
      </c>
      <c r="C22" s="16">
        <f>IF(AND(Atividades!$G22&lt;=Releases!$C7,Atividades!$H22&gt;=Releases!$B7),1,0)</f>
        <v>0</v>
      </c>
      <c r="D22" s="16">
        <f>IF(AND(Atividades!$G22&lt;=Releases!$C8,Atividades!$H22&gt;=Releases!$B8),1,0)</f>
        <v>0</v>
      </c>
      <c r="E22" s="16">
        <f>IF(AND(Atividades!$G22&lt;=Releases!$C9,Atividades!$H22&gt;=Releases!$B9),1,0)</f>
        <v>1</v>
      </c>
      <c r="F22" s="16">
        <f>IF(AND(Atividades!$G22&lt;=Releases!$C10,Atividades!$H22&gt;=Releases!$B10),1,0)</f>
        <v>0</v>
      </c>
      <c r="G22" s="16">
        <f>IF(AND(Atividades!$G22&lt;=Releases!$C11,Atividades!$H22&gt;=Releases!$B11),1,0)</f>
        <v>0</v>
      </c>
    </row>
    <row r="23" ht="28.5" customHeight="1">
      <c r="A23" s="5" t="s">
        <v>95</v>
      </c>
      <c r="B23" s="5" t="s">
        <v>96</v>
      </c>
      <c r="C23" s="15">
        <f>IF(AND(Atividades!$G23&lt;=Releases!$C7,Atividades!$H23&gt;=Releases!$B7),1,0)</f>
        <v>0</v>
      </c>
      <c r="D23" s="15">
        <f>IF(AND(Atividades!$G23&lt;=Releases!$C8,Atividades!$H23&gt;=Releases!$B8),1,0)</f>
        <v>0</v>
      </c>
      <c r="E23" s="15">
        <f>IF(AND(Atividades!$G23&lt;=Releases!$C9,Atividades!$H23&gt;=Releases!$B9),1,0)</f>
        <v>0</v>
      </c>
      <c r="F23" s="15">
        <f>IF(AND(Atividades!$G23&lt;=Releases!$C10,Atividades!$H23&gt;=Releases!$B10),1,0)</f>
        <v>1</v>
      </c>
      <c r="G23" s="15">
        <f>IF(AND(Atividades!$G23&lt;=Releases!$C11,Atividades!$H23&gt;=Releases!$B11),1,0)</f>
        <v>0</v>
      </c>
    </row>
    <row r="24" ht="28.5" customHeight="1">
      <c r="A24" s="7" t="s">
        <v>98</v>
      </c>
      <c r="B24" s="7" t="s">
        <v>99</v>
      </c>
      <c r="C24" s="16">
        <f>IF(AND(Atividades!$G24&lt;=Releases!$C7,Atividades!$H24&gt;=Releases!$B7),1,0)</f>
        <v>0</v>
      </c>
      <c r="D24" s="16">
        <f>IF(AND(Atividades!$G24&lt;=Releases!$C8,Atividades!$H24&gt;=Releases!$B8),1,0)</f>
        <v>0</v>
      </c>
      <c r="E24" s="16">
        <f>IF(AND(Atividades!$G24&lt;=Releases!$C9,Atividades!$H24&gt;=Releases!$B9),1,0)</f>
        <v>0</v>
      </c>
      <c r="F24" s="16">
        <f>IF(AND(Atividades!$G24&lt;=Releases!$C10,Atividades!$H24&gt;=Releases!$B10),1,0)</f>
        <v>1</v>
      </c>
      <c r="G24" s="16">
        <f>IF(AND(Atividades!$G24&lt;=Releases!$C11,Atividades!$H24&gt;=Releases!$B11),1,0)</f>
        <v>0</v>
      </c>
    </row>
    <row r="25" ht="28.5" customHeight="1">
      <c r="A25" s="5" t="s">
        <v>101</v>
      </c>
      <c r="B25" s="5" t="s">
        <v>102</v>
      </c>
      <c r="C25" s="15">
        <f>IF(AND(Atividades!$G25&lt;=Releases!$C7,Atividades!$H25&gt;=Releases!$B7),1,0)</f>
        <v>0</v>
      </c>
      <c r="D25" s="15">
        <f>IF(AND(Atividades!$G25&lt;=Releases!$C8,Atividades!$H25&gt;=Releases!$B8),1,0)</f>
        <v>0</v>
      </c>
      <c r="E25" s="15">
        <f>IF(AND(Atividades!$G25&lt;=Releases!$C9,Atividades!$H25&gt;=Releases!$B9),1,0)</f>
        <v>0</v>
      </c>
      <c r="F25" s="15">
        <f>IF(AND(Atividades!$G25&lt;=Releases!$C10,Atividades!$H25&gt;=Releases!$B10),1,0)</f>
        <v>1</v>
      </c>
      <c r="G25" s="15">
        <f>IF(AND(Atividades!$G25&lt;=Releases!$C11,Atividades!$H25&gt;=Releases!$B11),1,0)</f>
        <v>0</v>
      </c>
    </row>
    <row r="26" ht="28.5" customHeight="1">
      <c r="A26" s="7" t="s">
        <v>105</v>
      </c>
      <c r="B26" s="7" t="s">
        <v>106</v>
      </c>
      <c r="C26" s="16">
        <f>IF(AND(Atividades!$G26&lt;=Releases!$C7,Atividades!$H26&gt;=Releases!$B7),1,0)</f>
        <v>0</v>
      </c>
      <c r="D26" s="16">
        <f>IF(AND(Atividades!$G26&lt;=Releases!$C8,Atividades!$H26&gt;=Releases!$B8),1,0)</f>
        <v>0</v>
      </c>
      <c r="E26" s="16">
        <f>IF(AND(Atividades!$G26&lt;=Releases!$C9,Atividades!$H26&gt;=Releases!$B9),1,0)</f>
        <v>0</v>
      </c>
      <c r="F26" s="16">
        <f>IF(AND(Atividades!$G26&lt;=Releases!$C10,Atividades!$H26&gt;=Releases!$B10),1,0)</f>
        <v>1</v>
      </c>
      <c r="G26" s="16">
        <f>IF(AND(Atividades!$G26&lt;=Releases!$C11,Atividades!$H26&gt;=Releases!$B11),1,0)</f>
        <v>0</v>
      </c>
    </row>
    <row r="27" ht="28.5" customHeight="1">
      <c r="A27" s="5" t="s">
        <v>107</v>
      </c>
      <c r="B27" s="5" t="s">
        <v>108</v>
      </c>
      <c r="C27" s="15">
        <f>IF(AND(Atividades!$G27&lt;=Releases!$C7,Atividades!$H27&gt;=Releases!$B7),1,0)</f>
        <v>0</v>
      </c>
      <c r="D27" s="15">
        <f>IF(AND(Atividades!$G27&lt;=Releases!$C8,Atividades!$H27&gt;=Releases!$B8),1,0)</f>
        <v>0</v>
      </c>
      <c r="E27" s="15">
        <f>IF(AND(Atividades!$G27&lt;=Releases!$C9,Atividades!$H27&gt;=Releases!$B9),1,0)</f>
        <v>0</v>
      </c>
      <c r="F27" s="15">
        <f>IF(AND(Atividades!$G27&lt;=Releases!$C10,Atividades!$H27&gt;=Releases!$B10),1,0)</f>
        <v>0</v>
      </c>
      <c r="G27" s="15">
        <f>IF(AND(Atividades!$G27&lt;=Releases!$C11,Atividades!$H27&gt;=Releases!$B11),1,0)</f>
        <v>1</v>
      </c>
    </row>
    <row r="28" ht="28.5" customHeight="1">
      <c r="A28" s="7" t="s">
        <v>110</v>
      </c>
      <c r="B28" s="7" t="s">
        <v>111</v>
      </c>
      <c r="C28" s="16">
        <f>IF(AND(Atividades!$G28&lt;=Releases!$C7,Atividades!$H28&gt;=Releases!$B7),1,0)</f>
        <v>0</v>
      </c>
      <c r="D28" s="16">
        <f>IF(AND(Atividades!$G28&lt;=Releases!$C8,Atividades!$H28&gt;=Releases!$B8),1,0)</f>
        <v>0</v>
      </c>
      <c r="E28" s="16">
        <f>IF(AND(Atividades!$G28&lt;=Releases!$C9,Atividades!$H28&gt;=Releases!$B9),1,0)</f>
        <v>0</v>
      </c>
      <c r="F28" s="16">
        <f>IF(AND(Atividades!$G28&lt;=Releases!$C10,Atividades!$H28&gt;=Releases!$B10),1,0)</f>
        <v>0</v>
      </c>
      <c r="G28" s="16">
        <f>IF(AND(Atividades!$G28&lt;=Releases!$C11,Atividades!$H28&gt;=Releases!$B11),1,0)</f>
        <v>1</v>
      </c>
    </row>
    <row r="29" ht="28.5" customHeight="1">
      <c r="A29" s="5" t="s">
        <v>113</v>
      </c>
      <c r="B29" s="5" t="s">
        <v>114</v>
      </c>
      <c r="C29" s="15">
        <f>IF(AND(Atividades!$G29&lt;=Releases!$C7,Atividades!$H29&gt;=Releases!$B7),1,0)</f>
        <v>0</v>
      </c>
      <c r="D29" s="15">
        <f>IF(AND(Atividades!$G29&lt;=Releases!$C8,Atividades!$H29&gt;=Releases!$B8),1,0)</f>
        <v>0</v>
      </c>
      <c r="E29" s="15">
        <f>IF(AND(Atividades!$G29&lt;=Releases!$C9,Atividades!$H29&gt;=Releases!$B9),1,0)</f>
        <v>0</v>
      </c>
      <c r="F29" s="15">
        <f>IF(AND(Atividades!$G29&lt;=Releases!$C10,Atividades!$H29&gt;=Releases!$B10),1,0)</f>
        <v>0</v>
      </c>
      <c r="G29" s="15">
        <f>IF(AND(Atividades!$G29&lt;=Releases!$C11,Atividades!$H29&gt;=Releases!$B11),1,0)</f>
        <v>1</v>
      </c>
    </row>
    <row r="30" ht="28.5" customHeight="1">
      <c r="A30" s="7" t="s">
        <v>116</v>
      </c>
      <c r="B30" s="7" t="s">
        <v>117</v>
      </c>
      <c r="C30" s="16">
        <f>IF(AND(Atividades!$G30&lt;=Releases!$C7,Atividades!$H30&gt;=Releases!$B7),1,0)</f>
        <v>0</v>
      </c>
      <c r="D30" s="16">
        <f>IF(AND(Atividades!$G30&lt;=Releases!$C8,Atividades!$H30&gt;=Releases!$B8),1,0)</f>
        <v>0</v>
      </c>
      <c r="E30" s="16">
        <f>IF(AND(Atividades!$G30&lt;=Releases!$C9,Atividades!$H30&gt;=Releases!$B9),1,0)</f>
        <v>0</v>
      </c>
      <c r="F30" s="16">
        <f>IF(AND(Atividades!$G30&lt;=Releases!$C10,Atividades!$H30&gt;=Releases!$B10),1,0)</f>
        <v>0</v>
      </c>
      <c r="G30" s="16">
        <f>IF(AND(Atividades!$G30&lt;=Releases!$C11,Atividades!$H30&gt;=Releases!$B11),1,0)</f>
        <v>1</v>
      </c>
    </row>
    <row r="31" ht="28.5" customHeight="1">
      <c r="A31" s="5" t="s">
        <v>120</v>
      </c>
      <c r="B31" s="5" t="s">
        <v>121</v>
      </c>
      <c r="C31" s="15">
        <f>IF(AND(Atividades!$G31&lt;=Releases!$C7,Atividades!$H31&gt;=Releases!$B7),1,0)</f>
        <v>0</v>
      </c>
      <c r="D31" s="15">
        <f>IF(AND(Atividades!$G31&lt;=Releases!$C8,Atividades!$H31&gt;=Releases!$B8),1,0)</f>
        <v>0</v>
      </c>
      <c r="E31" s="15">
        <f>IF(AND(Atividades!$G31&lt;=Releases!$C9,Atividades!$H31&gt;=Releases!$B9),1,0)</f>
        <v>0</v>
      </c>
      <c r="F31" s="15">
        <f>IF(AND(Atividades!$G31&lt;=Releases!$C10,Atividades!$H31&gt;=Releases!$B10),1,0)</f>
        <v>0</v>
      </c>
      <c r="G31" s="15">
        <f>IF(AND(Atividades!$G31&lt;=Releases!$C11,Atividades!$H31&gt;=Releases!$B11),1,0)</f>
        <v>1</v>
      </c>
    </row>
    <row r="32" ht="21.75" customHeight="1">
      <c r="A32" s="1"/>
      <c r="B32" s="1"/>
      <c r="C32" s="1"/>
      <c r="D32" s="1"/>
      <c r="E32" s="1"/>
      <c r="F32" s="1"/>
      <c r="G32" s="1"/>
    </row>
    <row r="33" ht="21.75" customHeight="1">
      <c r="A33" s="1"/>
      <c r="B33" s="1"/>
      <c r="C33" s="1"/>
      <c r="D33" s="1"/>
      <c r="E33" s="1"/>
      <c r="F33" s="1"/>
      <c r="G33" s="1"/>
    </row>
    <row r="34" ht="31.5" customHeight="1">
      <c r="A34" s="9" t="s">
        <v>168</v>
      </c>
    </row>
    <row r="35" ht="21.75" customHeight="1">
      <c r="A35" s="1"/>
      <c r="B35" s="1"/>
      <c r="C35" s="1"/>
      <c r="D35" s="1"/>
      <c r="E35" s="1"/>
      <c r="F35" s="1"/>
      <c r="G35" s="1"/>
    </row>
    <row r="36" ht="21.75" customHeight="1">
      <c r="A36" s="1"/>
      <c r="B36" s="1"/>
      <c r="C36" s="1"/>
      <c r="D36" s="1"/>
      <c r="E36" s="1"/>
      <c r="F36" s="1"/>
      <c r="G36" s="1"/>
    </row>
    <row r="37" ht="21.75" customHeight="1">
      <c r="A37" s="1"/>
      <c r="B37" s="1"/>
      <c r="C37" s="1"/>
      <c r="D37" s="1"/>
      <c r="E37" s="1"/>
      <c r="F37" s="1"/>
      <c r="G37" s="1"/>
    </row>
    <row r="38" ht="21.75" customHeight="1">
      <c r="A38" s="1"/>
      <c r="B38" s="1"/>
      <c r="C38" s="1"/>
      <c r="D38" s="1"/>
      <c r="E38" s="1"/>
      <c r="F38" s="1"/>
      <c r="G38" s="1"/>
    </row>
    <row r="39" ht="21.75" customHeight="1">
      <c r="A39" s="1"/>
      <c r="B39" s="1"/>
      <c r="C39" s="1"/>
      <c r="D39" s="1"/>
      <c r="E39" s="1"/>
      <c r="F39" s="1"/>
      <c r="G39" s="1"/>
    </row>
    <row r="40" ht="21.75" customHeight="1">
      <c r="A40" s="1"/>
      <c r="B40" s="1"/>
      <c r="C40" s="1"/>
      <c r="D40" s="1"/>
      <c r="E40" s="1"/>
      <c r="F40" s="1"/>
      <c r="G40" s="1"/>
    </row>
    <row r="41" ht="21.75" customHeight="1">
      <c r="A41" s="1"/>
      <c r="B41" s="1"/>
      <c r="C41" s="1"/>
      <c r="D41" s="1"/>
      <c r="E41" s="1"/>
      <c r="F41" s="1"/>
      <c r="G41" s="1"/>
    </row>
    <row r="42" ht="21.75" customHeight="1">
      <c r="A42" s="1"/>
      <c r="B42" s="1"/>
      <c r="C42" s="1"/>
      <c r="D42" s="1"/>
      <c r="E42" s="1"/>
      <c r="F42" s="1"/>
      <c r="G42" s="1"/>
    </row>
    <row r="43" ht="21.75" customHeight="1">
      <c r="A43" s="1"/>
      <c r="B43" s="1"/>
      <c r="C43" s="1"/>
      <c r="D43" s="1"/>
      <c r="E43" s="1"/>
      <c r="F43" s="1"/>
      <c r="G43" s="1"/>
    </row>
    <row r="44" ht="21.75" customHeight="1">
      <c r="A44" s="1"/>
      <c r="B44" s="1"/>
      <c r="C44" s="1"/>
      <c r="D44" s="1"/>
      <c r="E44" s="1"/>
      <c r="F44" s="1"/>
      <c r="G44" s="1"/>
    </row>
    <row r="45" ht="21.75" customHeight="1">
      <c r="A45" s="1"/>
      <c r="B45" s="1"/>
      <c r="C45" s="1"/>
      <c r="D45" s="1"/>
      <c r="E45" s="1"/>
      <c r="F45" s="1"/>
      <c r="G45" s="1"/>
    </row>
    <row r="46" ht="21.75" customHeight="1">
      <c r="A46" s="1"/>
      <c r="B46" s="1"/>
      <c r="C46" s="1"/>
      <c r="D46" s="1"/>
      <c r="E46" s="1"/>
      <c r="F46" s="1"/>
      <c r="G46" s="1"/>
    </row>
    <row r="47" ht="21.75" customHeight="1">
      <c r="A47" s="1"/>
      <c r="B47" s="1"/>
      <c r="C47" s="1"/>
      <c r="D47" s="1"/>
      <c r="E47" s="1"/>
      <c r="F47" s="1"/>
      <c r="G47" s="1"/>
    </row>
    <row r="48" ht="21.75" customHeight="1">
      <c r="A48" s="1"/>
      <c r="B48" s="1"/>
      <c r="C48" s="1"/>
      <c r="D48" s="1"/>
      <c r="E48" s="1"/>
      <c r="F48" s="1"/>
      <c r="G48" s="1"/>
    </row>
    <row r="49" ht="21.75" customHeight="1">
      <c r="A49" s="1"/>
      <c r="B49" s="1"/>
      <c r="C49" s="1"/>
      <c r="D49" s="1"/>
      <c r="E49" s="1"/>
      <c r="F49" s="1"/>
      <c r="G49" s="1"/>
    </row>
    <row r="50" ht="21.75" customHeight="1">
      <c r="A50" s="1"/>
      <c r="B50" s="1"/>
      <c r="C50" s="1"/>
      <c r="D50" s="1"/>
      <c r="E50" s="1"/>
      <c r="F50" s="1"/>
      <c r="G50" s="1"/>
    </row>
    <row r="51" ht="21.75" customHeight="1">
      <c r="A51" s="1"/>
      <c r="B51" s="1"/>
      <c r="C51" s="1"/>
      <c r="D51" s="1"/>
      <c r="E51" s="1"/>
      <c r="F51" s="1"/>
      <c r="G51" s="1"/>
    </row>
    <row r="52" ht="21.75" customHeight="1">
      <c r="A52" s="1"/>
      <c r="B52" s="1"/>
      <c r="C52" s="1"/>
      <c r="D52" s="1"/>
      <c r="E52" s="1"/>
      <c r="F52" s="1"/>
      <c r="G52" s="1"/>
    </row>
    <row r="53" ht="21.75" customHeight="1">
      <c r="A53" s="1"/>
      <c r="B53" s="1"/>
      <c r="C53" s="1"/>
      <c r="D53" s="1"/>
      <c r="E53" s="1"/>
      <c r="F53" s="1"/>
      <c r="G53" s="1"/>
    </row>
    <row r="54" ht="21.75" customHeight="1">
      <c r="A54" s="1"/>
      <c r="B54" s="1"/>
      <c r="C54" s="1"/>
      <c r="D54" s="1"/>
      <c r="E54" s="1"/>
      <c r="F54" s="1"/>
      <c r="G54" s="1"/>
    </row>
    <row r="55" ht="21.75" customHeight="1">
      <c r="A55" s="1"/>
      <c r="B55" s="1"/>
      <c r="C55" s="1"/>
      <c r="D55" s="1"/>
      <c r="E55" s="1"/>
      <c r="F55" s="1"/>
      <c r="G55" s="1"/>
    </row>
    <row r="56" ht="21.75" customHeight="1">
      <c r="A56" s="1"/>
      <c r="B56" s="1"/>
      <c r="C56" s="1"/>
      <c r="D56" s="1"/>
      <c r="E56" s="1"/>
      <c r="F56" s="1"/>
      <c r="G56" s="1"/>
    </row>
    <row r="57" ht="21.75" customHeight="1">
      <c r="A57" s="1"/>
      <c r="B57" s="1"/>
      <c r="C57" s="1"/>
      <c r="D57" s="1"/>
      <c r="E57" s="1"/>
      <c r="F57" s="1"/>
      <c r="G57" s="1"/>
    </row>
    <row r="58" ht="21.75" customHeight="1">
      <c r="A58" s="1"/>
      <c r="B58" s="1"/>
      <c r="C58" s="1"/>
      <c r="D58" s="1"/>
      <c r="E58" s="1"/>
      <c r="F58" s="1"/>
      <c r="G58" s="1"/>
    </row>
    <row r="59" ht="21.75" customHeight="1">
      <c r="A59" s="1"/>
      <c r="B59" s="1"/>
      <c r="C59" s="1"/>
      <c r="D59" s="1"/>
      <c r="E59" s="1"/>
      <c r="F59" s="1"/>
      <c r="G59" s="1"/>
    </row>
    <row r="60" ht="21.75" customHeight="1">
      <c r="A60" s="1"/>
      <c r="B60" s="1"/>
      <c r="C60" s="1"/>
      <c r="D60" s="1"/>
      <c r="E60" s="1"/>
      <c r="F60" s="1"/>
      <c r="G60" s="1"/>
    </row>
    <row r="61" ht="21.75" customHeight="1">
      <c r="A61" s="1"/>
      <c r="B61" s="1"/>
      <c r="C61" s="1"/>
      <c r="D61" s="1"/>
      <c r="E61" s="1"/>
      <c r="F61" s="1"/>
      <c r="G61" s="1"/>
    </row>
    <row r="62" ht="21.75" customHeight="1">
      <c r="A62" s="1"/>
      <c r="B62" s="1"/>
      <c r="C62" s="1"/>
      <c r="D62" s="1"/>
      <c r="E62" s="1"/>
      <c r="F62" s="1"/>
      <c r="G62" s="1"/>
    </row>
    <row r="63" ht="21.75" customHeight="1">
      <c r="A63" s="1"/>
      <c r="B63" s="1"/>
      <c r="C63" s="1"/>
      <c r="D63" s="1"/>
      <c r="E63" s="1"/>
      <c r="F63" s="1"/>
      <c r="G63" s="1"/>
    </row>
    <row r="64" ht="21.75" customHeight="1">
      <c r="A64" s="1"/>
      <c r="B64" s="1"/>
      <c r="C64" s="1"/>
      <c r="D64" s="1"/>
      <c r="E64" s="1"/>
      <c r="F64" s="1"/>
      <c r="G64" s="1"/>
    </row>
    <row r="65" ht="21.75" customHeight="1">
      <c r="A65" s="1"/>
      <c r="B65" s="1"/>
      <c r="C65" s="1"/>
      <c r="D65" s="1"/>
      <c r="E65" s="1"/>
      <c r="F65" s="1"/>
      <c r="G65" s="1"/>
    </row>
    <row r="66" ht="21.75" customHeight="1">
      <c r="A66" s="1"/>
      <c r="B66" s="1"/>
      <c r="C66" s="1"/>
      <c r="D66" s="1"/>
      <c r="E66" s="1"/>
      <c r="F66" s="1"/>
      <c r="G66" s="1"/>
    </row>
    <row r="67" ht="21.75" customHeight="1">
      <c r="A67" s="1"/>
      <c r="B67" s="1"/>
      <c r="C67" s="1"/>
      <c r="D67" s="1"/>
      <c r="E67" s="1"/>
      <c r="F67" s="1"/>
      <c r="G67" s="1"/>
    </row>
    <row r="68" ht="21.75" customHeight="1">
      <c r="A68" s="1"/>
      <c r="B68" s="1"/>
      <c r="C68" s="1"/>
      <c r="D68" s="1"/>
      <c r="E68" s="1"/>
      <c r="F68" s="1"/>
      <c r="G68" s="1"/>
    </row>
    <row r="69" ht="21.75" customHeight="1">
      <c r="A69" s="1"/>
      <c r="B69" s="1"/>
      <c r="C69" s="1"/>
      <c r="D69" s="1"/>
      <c r="E69" s="1"/>
      <c r="F69" s="1"/>
      <c r="G69" s="1"/>
    </row>
    <row r="70" ht="21.75" customHeight="1">
      <c r="A70" s="1"/>
      <c r="B70" s="1"/>
      <c r="C70" s="1"/>
      <c r="D70" s="1"/>
      <c r="E70" s="1"/>
      <c r="F70" s="1"/>
      <c r="G70" s="1"/>
    </row>
    <row r="71" ht="21.75" customHeight="1">
      <c r="A71" s="1"/>
      <c r="B71" s="1"/>
      <c r="C71" s="1"/>
      <c r="D71" s="1"/>
      <c r="E71" s="1"/>
      <c r="F71" s="1"/>
      <c r="G71" s="1"/>
    </row>
    <row r="72" ht="21.75" customHeight="1">
      <c r="A72" s="1"/>
      <c r="B72" s="1"/>
      <c r="C72" s="1"/>
      <c r="D72" s="1"/>
      <c r="E72" s="1"/>
      <c r="F72" s="1"/>
      <c r="G72" s="1"/>
    </row>
    <row r="73" ht="21.75" customHeight="1">
      <c r="A73" s="1"/>
      <c r="B73" s="1"/>
      <c r="C73" s="1"/>
      <c r="D73" s="1"/>
      <c r="E73" s="1"/>
      <c r="F73" s="1"/>
      <c r="G73" s="1"/>
    </row>
    <row r="74" ht="21.75" customHeight="1">
      <c r="A74" s="1"/>
      <c r="B74" s="1"/>
      <c r="C74" s="1"/>
      <c r="D74" s="1"/>
      <c r="E74" s="1"/>
      <c r="F74" s="1"/>
      <c r="G74" s="1"/>
    </row>
    <row r="75" ht="21.75" customHeight="1">
      <c r="A75" s="1"/>
      <c r="B75" s="1"/>
      <c r="C75" s="1"/>
      <c r="D75" s="1"/>
      <c r="E75" s="1"/>
      <c r="F75" s="1"/>
      <c r="G75" s="1"/>
    </row>
    <row r="76" ht="21.75" customHeight="1">
      <c r="A76" s="1"/>
      <c r="B76" s="1"/>
      <c r="C76" s="1"/>
      <c r="D76" s="1"/>
      <c r="E76" s="1"/>
      <c r="F76" s="1"/>
      <c r="G76" s="1"/>
    </row>
    <row r="77" ht="21.75" customHeight="1">
      <c r="A77" s="1"/>
      <c r="B77" s="1"/>
      <c r="C77" s="1"/>
      <c r="D77" s="1"/>
      <c r="E77" s="1"/>
      <c r="F77" s="1"/>
      <c r="G77" s="1"/>
    </row>
    <row r="78" ht="21.75" customHeight="1">
      <c r="A78" s="1"/>
      <c r="B78" s="1"/>
      <c r="C78" s="1"/>
      <c r="D78" s="1"/>
      <c r="E78" s="1"/>
      <c r="F78" s="1"/>
      <c r="G78" s="1"/>
    </row>
    <row r="79" ht="21.75" customHeight="1">
      <c r="A79" s="1"/>
      <c r="B79" s="1"/>
      <c r="C79" s="1"/>
      <c r="D79" s="1"/>
      <c r="E79" s="1"/>
      <c r="F79" s="1"/>
      <c r="G79" s="1"/>
    </row>
    <row r="80" ht="21.75" customHeight="1">
      <c r="A80" s="1"/>
      <c r="B80" s="1"/>
      <c r="C80" s="1"/>
      <c r="D80" s="1"/>
      <c r="E80" s="1"/>
      <c r="F80" s="1"/>
      <c r="G80" s="1"/>
    </row>
    <row r="81" ht="21.75" customHeight="1">
      <c r="A81" s="1"/>
      <c r="B81" s="1"/>
      <c r="C81" s="1"/>
      <c r="D81" s="1"/>
      <c r="E81" s="1"/>
      <c r="F81" s="1"/>
      <c r="G81" s="1"/>
    </row>
    <row r="82" ht="21.75" customHeight="1">
      <c r="A82" s="1"/>
      <c r="B82" s="1"/>
      <c r="C82" s="1"/>
      <c r="D82" s="1"/>
      <c r="E82" s="1"/>
      <c r="F82" s="1"/>
      <c r="G82" s="1"/>
    </row>
    <row r="83" ht="21.75" customHeight="1">
      <c r="A83" s="1"/>
      <c r="B83" s="1"/>
      <c r="C83" s="1"/>
      <c r="D83" s="1"/>
      <c r="E83" s="1"/>
      <c r="F83" s="1"/>
      <c r="G83" s="1"/>
    </row>
    <row r="84" ht="21.75" customHeight="1">
      <c r="A84" s="1"/>
      <c r="B84" s="1"/>
      <c r="C84" s="1"/>
      <c r="D84" s="1"/>
      <c r="E84" s="1"/>
      <c r="F84" s="1"/>
      <c r="G84" s="1"/>
    </row>
    <row r="85" ht="21.75" customHeight="1">
      <c r="A85" s="1"/>
      <c r="B85" s="1"/>
      <c r="C85" s="1"/>
      <c r="D85" s="1"/>
      <c r="E85" s="1"/>
      <c r="F85" s="1"/>
      <c r="G85" s="1"/>
    </row>
    <row r="86" ht="21.75" customHeight="1">
      <c r="A86" s="1"/>
      <c r="B86" s="1"/>
      <c r="C86" s="1"/>
      <c r="D86" s="1"/>
      <c r="E86" s="1"/>
      <c r="F86" s="1"/>
      <c r="G86" s="1"/>
    </row>
    <row r="87" ht="21.75" customHeight="1">
      <c r="A87" s="1"/>
      <c r="B87" s="1"/>
      <c r="C87" s="1"/>
      <c r="D87" s="1"/>
      <c r="E87" s="1"/>
      <c r="F87" s="1"/>
      <c r="G87" s="1"/>
    </row>
    <row r="88" ht="21.75" customHeight="1">
      <c r="A88" s="1"/>
      <c r="B88" s="1"/>
      <c r="C88" s="1"/>
      <c r="D88" s="1"/>
      <c r="E88" s="1"/>
      <c r="F88" s="1"/>
      <c r="G88" s="1"/>
    </row>
    <row r="89" ht="21.75" customHeight="1">
      <c r="A89" s="1"/>
      <c r="B89" s="1"/>
      <c r="C89" s="1"/>
      <c r="D89" s="1"/>
      <c r="E89" s="1"/>
      <c r="F89" s="1"/>
      <c r="G89" s="1"/>
    </row>
    <row r="90" ht="21.75" customHeight="1">
      <c r="A90" s="1"/>
      <c r="B90" s="1"/>
      <c r="C90" s="1"/>
      <c r="D90" s="1"/>
      <c r="E90" s="1"/>
      <c r="F90" s="1"/>
      <c r="G90" s="1"/>
    </row>
    <row r="91" ht="21.75" customHeight="1">
      <c r="A91" s="1"/>
      <c r="B91" s="1"/>
      <c r="C91" s="1"/>
      <c r="D91" s="1"/>
      <c r="E91" s="1"/>
      <c r="F91" s="1"/>
      <c r="G91" s="1"/>
    </row>
    <row r="92" ht="21.75" customHeight="1">
      <c r="A92" s="1"/>
      <c r="B92" s="1"/>
      <c r="C92" s="1"/>
      <c r="D92" s="1"/>
      <c r="E92" s="1"/>
      <c r="F92" s="1"/>
      <c r="G92" s="1"/>
    </row>
    <row r="93" ht="21.75" customHeight="1">
      <c r="A93" s="1"/>
      <c r="B93" s="1"/>
      <c r="C93" s="1"/>
      <c r="D93" s="1"/>
      <c r="E93" s="1"/>
      <c r="F93" s="1"/>
      <c r="G93" s="1"/>
    </row>
    <row r="94" ht="21.75" customHeight="1">
      <c r="A94" s="1"/>
      <c r="B94" s="1"/>
      <c r="C94" s="1"/>
      <c r="D94" s="1"/>
      <c r="E94" s="1"/>
      <c r="F94" s="1"/>
      <c r="G94" s="1"/>
    </row>
    <row r="95" ht="21.75" customHeight="1">
      <c r="A95" s="1"/>
      <c r="B95" s="1"/>
      <c r="C95" s="1"/>
      <c r="D95" s="1"/>
      <c r="E95" s="1"/>
      <c r="F95" s="1"/>
      <c r="G95" s="1"/>
    </row>
    <row r="96" ht="21.75" customHeight="1">
      <c r="A96" s="1"/>
      <c r="B96" s="1"/>
      <c r="C96" s="1"/>
      <c r="D96" s="1"/>
      <c r="E96" s="1"/>
      <c r="F96" s="1"/>
      <c r="G96" s="1"/>
    </row>
    <row r="97" ht="21.75" customHeight="1">
      <c r="A97" s="1"/>
      <c r="B97" s="1"/>
      <c r="C97" s="1"/>
      <c r="D97" s="1"/>
      <c r="E97" s="1"/>
      <c r="F97" s="1"/>
      <c r="G97" s="1"/>
    </row>
    <row r="98" ht="21.75" customHeight="1">
      <c r="A98" s="1"/>
      <c r="B98" s="1"/>
      <c r="C98" s="1"/>
      <c r="D98" s="1"/>
      <c r="E98" s="1"/>
      <c r="F98" s="1"/>
      <c r="G98" s="1"/>
    </row>
    <row r="99" ht="21.75" customHeight="1">
      <c r="A99" s="1"/>
      <c r="B99" s="1"/>
      <c r="C99" s="1"/>
      <c r="D99" s="1"/>
      <c r="E99" s="1"/>
      <c r="F99" s="1"/>
      <c r="G99" s="1"/>
    </row>
    <row r="100" ht="21.75" customHeight="1">
      <c r="A100" s="1"/>
      <c r="B100" s="1"/>
      <c r="C100" s="1"/>
      <c r="D100" s="1"/>
      <c r="E100" s="1"/>
      <c r="F100" s="1"/>
      <c r="G100" s="1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4:G34"/>
  </mergeCells>
  <conditionalFormatting sqref="C7:G31">
    <cfRule type="cellIs" dxfId="1" priority="1" operator="equal">
      <formula>1</formula>
    </cfRule>
  </conditionalFormatting>
  <printOptions/>
  <pageMargins bottom="0.75" footer="0.0" header="0.0" left="0.7" right="0.7" top="0.75"/>
  <pageSetup orientation="landscape"/>
  <drawing r:id="rId1"/>
</worksheet>
</file>